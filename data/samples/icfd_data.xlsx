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rmuhammadmahad/Desktop/return points app/data/samples/"/>
    </mc:Choice>
  </mc:AlternateContent>
  <xr:revisionPtr revIDLastSave="0" documentId="13_ncr:1_{2F27BDB0-7B59-A24D-9DE1-9B4A1D8960BF}" xr6:coauthVersionLast="47" xr6:coauthVersionMax="47" xr10:uidLastSave="{00000000-0000-0000-0000-000000000000}"/>
  <bookViews>
    <workbookView xWindow="5180" yWindow="2960" windowWidth="28040" windowHeight="17180" xr2:uid="{2A08DC52-9FB1-1D40-AA94-BD20DD9AFC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J28" i="1" s="1"/>
  <c r="I27" i="1"/>
  <c r="J27" i="1" s="1"/>
  <c r="I26" i="1"/>
  <c r="J26" i="1" s="1"/>
  <c r="J25" i="1"/>
  <c r="I25" i="1"/>
  <c r="I24" i="1"/>
  <c r="J24" i="1" s="1"/>
  <c r="I23" i="1"/>
  <c r="J23" i="1" s="1"/>
  <c r="I22" i="1"/>
  <c r="J22" i="1" s="1"/>
  <c r="J21" i="1"/>
  <c r="I21" i="1"/>
  <c r="I20" i="1"/>
  <c r="J20" i="1" s="1"/>
  <c r="I19" i="1"/>
  <c r="J19" i="1" s="1"/>
  <c r="I18" i="1"/>
  <c r="J18" i="1" s="1"/>
  <c r="J17" i="1"/>
  <c r="I17" i="1"/>
  <c r="I16" i="1"/>
  <c r="J16" i="1" s="1"/>
  <c r="I15" i="1"/>
  <c r="J15" i="1" s="1"/>
  <c r="I14" i="1"/>
  <c r="J14" i="1" s="1"/>
  <c r="J13" i="1"/>
  <c r="I13" i="1"/>
  <c r="I12" i="1"/>
  <c r="J12" i="1" s="1"/>
  <c r="I11" i="1"/>
  <c r="J11" i="1" s="1"/>
  <c r="I10" i="1"/>
  <c r="J10" i="1" s="1"/>
  <c r="J9" i="1"/>
  <c r="I9" i="1"/>
  <c r="I8" i="1"/>
  <c r="J8" i="1" s="1"/>
  <c r="J5" i="1"/>
  <c r="J4" i="1"/>
  <c r="J31" i="1" l="1"/>
  <c r="L1" i="1"/>
</calcChain>
</file>

<file path=xl/sharedStrings.xml><?xml version="1.0" encoding="utf-8"?>
<sst xmlns="http://schemas.openxmlformats.org/spreadsheetml/2006/main" count="139" uniqueCount="57">
  <si>
    <t>SID</t>
  </si>
  <si>
    <t xml:space="preserve">Name (Last name, First name) </t>
  </si>
  <si>
    <t>Room No.</t>
  </si>
  <si>
    <t>SubTotal</t>
  </si>
  <si>
    <t>Final total</t>
  </si>
  <si>
    <t>CHEN Jiayi</t>
  </si>
  <si>
    <t>301A</t>
  </si>
  <si>
    <t>DU Xiaxuan</t>
  </si>
  <si>
    <t>705A</t>
  </si>
  <si>
    <t>JALIL Ayman Afroz</t>
  </si>
  <si>
    <t>103B</t>
  </si>
  <si>
    <t>206A</t>
  </si>
  <si>
    <t>405B</t>
  </si>
  <si>
    <t>S M Atiquzzaman Anaf</t>
  </si>
  <si>
    <t>906A</t>
  </si>
  <si>
    <t>303B</t>
  </si>
  <si>
    <t>304B</t>
  </si>
  <si>
    <t>206B</t>
  </si>
  <si>
    <t>SANTOSA Steven Sie</t>
  </si>
  <si>
    <t>304A</t>
  </si>
  <si>
    <t>CHOWDHURY Samin</t>
  </si>
  <si>
    <t>Zhong Wenyuan</t>
  </si>
  <si>
    <t>Tang Xiwei</t>
  </si>
  <si>
    <t>KURNIAWAN Joseph Anggono</t>
  </si>
  <si>
    <t>total returning</t>
  </si>
  <si>
    <t>TYPE</t>
  </si>
  <si>
    <t>28/9</t>
  </si>
  <si>
    <t>3/10/2025</t>
  </si>
  <si>
    <t>4/10/2025</t>
  </si>
  <si>
    <t>5/10/2025</t>
  </si>
  <si>
    <t>Coach</t>
  </si>
  <si>
    <t>pengfei Xie</t>
  </si>
  <si>
    <t>Y</t>
  </si>
  <si>
    <t>PARTICIPANT</t>
  </si>
  <si>
    <t>Michael Terence Basarah</t>
  </si>
  <si>
    <t>SUN Haocheng</t>
  </si>
  <si>
    <t>WANG Dingchao</t>
  </si>
  <si>
    <t>Zoe</t>
  </si>
  <si>
    <t>403B</t>
  </si>
  <si>
    <t>Man Dick Ho</t>
  </si>
  <si>
    <t>1006B</t>
  </si>
  <si>
    <t xml:space="preserve">Owais Ahmed Siddiqui </t>
  </si>
  <si>
    <t>Zheng Sang Lung</t>
  </si>
  <si>
    <t>505A</t>
  </si>
  <si>
    <t xml:space="preserve">Zhong Yongqiang </t>
  </si>
  <si>
    <t>303b</t>
  </si>
  <si>
    <t>Chan Ka Hei</t>
  </si>
  <si>
    <t>\</t>
  </si>
  <si>
    <t>Chong Hoi Him</t>
  </si>
  <si>
    <t>1005B</t>
  </si>
  <si>
    <t>Li Pak Yin Pazu</t>
  </si>
  <si>
    <t>104B</t>
  </si>
  <si>
    <t>NG Hoi Yuen</t>
  </si>
  <si>
    <t xml:space="preserve">pengfeihu </t>
  </si>
  <si>
    <t>206b</t>
  </si>
  <si>
    <t>906b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</si>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</sst>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quotePrefix="1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0" fontId="5" fillId="0" borderId="1" xfId="0" applyFont="1" applyBorder="1"/>
    <xf numFmtId="0" fontId="6" fillId="6" borderId="1" xfId="0" applyFont="1" applyFill="1" applyBorder="1"/>
    <xf numFmtId="0" fontId="6" fillId="6" borderId="1" xfId="0" applyFont="1" applyFill="1" applyBorder="1" applyAlignment="1">
      <alignment horizontal="right"/>
    </xf>
    <xf numFmtId="0" fontId="5" fillId="6" borderId="1" xfId="0" applyFont="1" applyFill="1" applyBorder="1"/>
    <xf numFmtId="0" fontId="5" fillId="4" borderId="2" xfId="0" applyFont="1" applyFill="1" applyBorder="1" applyAlignment="1">
      <alignment horizontal="right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right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right"/>
    </xf>
    <xf numFmtId="0" fontId="5" fillId="0" borderId="2" xfId="0" applyFont="1" applyBorder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</dxfs>
  <tableStyles count="1" defaultTableStyle="TableStyleMedium2" defaultPivotStyle="PivotStyleLight16">
    <tableStyle name="2.a Basketball Sports Club-style" pivot="0" count="2" xr9:uid="{A723587F-ADBD-DC4A-A2D6-2ED1CEEF55E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47C1C-053B-2943-9E09-6BDE021B6749}" name="Table_1" displayName="Table_1" ref="B4:I28" headerRowCount="0">
  <tableColumns count="8">
    <tableColumn id="1" xr3:uid="{593547E5-CCA1-654D-9B85-E87E3639E97C}" name="Column1"/>
    <tableColumn id="2" xr3:uid="{19352430-A3AE-1140-851D-8CC799D5EF84}" name="Column2"/>
    <tableColumn id="3" xr3:uid="{3B91B99B-083A-AA4B-B081-96C18FABFC47}" name="Column3"/>
    <tableColumn id="4" xr3:uid="{3AB17104-B477-8C41-A0AA-8C7BF6EB01F2}" name="Column4"/>
    <tableColumn id="5" xr3:uid="{B465E08C-3080-0E4C-805E-E338230F6113}" name="Column5"/>
    <tableColumn id="6" xr3:uid="{9D597A6E-2979-BB44-B490-DDB87BF9D258}" name="Column6"/>
    <tableColumn id="7" xr3:uid="{69CBB849-D87C-C347-BC09-F10A8921857A}" name="Column7"/>
    <tableColumn id="8" xr3:uid="{F2CF5BD3-C727-4946-93F3-3D3561AB6545}" name="Column8"/>
  </tableColumns>
  <tableStyleInfo name="2.a Basketball Sports Club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5DC80-94CF-1241-8C7F-EEA69FA353D9}">
  <dimension ref="A1:L31"/>
  <sheetViews>
    <sheetView tabSelected="1" workbookViewId="0">
      <selection activeCell="K15" sqref="K15"/>
    </sheetView>
  </sheetViews>
  <sheetFormatPr baseColWidth="10" defaultColWidth="12.6640625" defaultRowHeight="16" x14ac:dyDescent="0.2"/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24</v>
      </c>
      <c r="L1" s="2">
        <f>SUM(J:J)</f>
        <v>106</v>
      </c>
    </row>
    <row r="2" spans="1:12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 x14ac:dyDescent="0.2">
      <c r="A3" s="3" t="s">
        <v>25</v>
      </c>
      <c r="B3" s="4" t="s">
        <v>1</v>
      </c>
      <c r="C3" s="3" t="s">
        <v>0</v>
      </c>
      <c r="D3" s="4" t="s">
        <v>2</v>
      </c>
      <c r="E3" s="4" t="s">
        <v>26</v>
      </c>
      <c r="F3" s="5" t="s">
        <v>27</v>
      </c>
      <c r="G3" s="5" t="s">
        <v>28</v>
      </c>
      <c r="H3" s="5" t="s">
        <v>29</v>
      </c>
      <c r="I3" s="6" t="s">
        <v>3</v>
      </c>
      <c r="J3" s="7" t="s">
        <v>4</v>
      </c>
    </row>
    <row r="4" spans="1:12" x14ac:dyDescent="0.2">
      <c r="A4" s="8" t="s">
        <v>30</v>
      </c>
      <c r="B4" s="9" t="s">
        <v>31</v>
      </c>
      <c r="C4" s="10">
        <v>58665332</v>
      </c>
      <c r="D4" s="9" t="s">
        <v>17</v>
      </c>
      <c r="E4" s="9" t="s">
        <v>32</v>
      </c>
      <c r="F4" s="9" t="s">
        <v>32</v>
      </c>
      <c r="G4" s="11"/>
      <c r="H4" s="9" t="s">
        <v>32</v>
      </c>
      <c r="I4" s="10">
        <v>6</v>
      </c>
      <c r="J4" s="12">
        <f t="shared" ref="J4:J5" si="0">SUM(I4)</f>
        <v>6</v>
      </c>
    </row>
    <row r="5" spans="1:12" x14ac:dyDescent="0.2">
      <c r="A5" s="8" t="s">
        <v>30</v>
      </c>
      <c r="B5" s="13" t="s">
        <v>7</v>
      </c>
      <c r="C5" s="14">
        <v>59301282</v>
      </c>
      <c r="D5" s="13" t="s">
        <v>8</v>
      </c>
      <c r="E5" s="13" t="s">
        <v>32</v>
      </c>
      <c r="F5" s="15" t="s">
        <v>32</v>
      </c>
      <c r="G5" s="15"/>
      <c r="H5" s="15"/>
      <c r="I5" s="16">
        <v>4</v>
      </c>
      <c r="J5" s="12">
        <f t="shared" si="0"/>
        <v>4</v>
      </c>
    </row>
    <row r="6" spans="1:12" x14ac:dyDescent="0.2">
      <c r="A6" s="8"/>
      <c r="B6" s="11"/>
      <c r="C6" s="11"/>
      <c r="D6" s="11"/>
      <c r="E6" s="11"/>
      <c r="F6" s="11"/>
      <c r="G6" s="11"/>
      <c r="H6" s="11"/>
      <c r="I6" s="11"/>
      <c r="J6" s="17"/>
    </row>
    <row r="7" spans="1:12" x14ac:dyDescent="0.2">
      <c r="A7" s="3" t="s">
        <v>25</v>
      </c>
      <c r="B7" s="4" t="s">
        <v>1</v>
      </c>
      <c r="C7" s="3" t="s">
        <v>0</v>
      </c>
      <c r="D7" s="4" t="s">
        <v>2</v>
      </c>
      <c r="E7" s="4" t="s">
        <v>26</v>
      </c>
      <c r="F7" s="5" t="s">
        <v>27</v>
      </c>
      <c r="G7" s="5" t="s">
        <v>28</v>
      </c>
      <c r="H7" s="5" t="s">
        <v>29</v>
      </c>
      <c r="I7" s="6" t="s">
        <v>3</v>
      </c>
      <c r="J7" s="7" t="s">
        <v>4</v>
      </c>
    </row>
    <row r="8" spans="1:12" x14ac:dyDescent="0.2">
      <c r="A8" s="8" t="s">
        <v>33</v>
      </c>
      <c r="B8" s="9" t="s">
        <v>9</v>
      </c>
      <c r="C8" s="10">
        <v>58583850</v>
      </c>
      <c r="D8" s="9" t="s">
        <v>10</v>
      </c>
      <c r="E8" s="9" t="s">
        <v>32</v>
      </c>
      <c r="F8" s="9" t="s">
        <v>32</v>
      </c>
      <c r="G8" s="9" t="s">
        <v>32</v>
      </c>
      <c r="H8" s="9" t="s">
        <v>32</v>
      </c>
      <c r="I8" s="10">
        <f t="shared" ref="I8:I28" si="1">ROUNDUP(COUNTIF(E8:H8,"Y")*1,0)</f>
        <v>4</v>
      </c>
      <c r="J8" s="12">
        <f t="shared" ref="J8:J28" si="2">SUM(I8)</f>
        <v>4</v>
      </c>
    </row>
    <row r="9" spans="1:12" x14ac:dyDescent="0.2">
      <c r="A9" s="8" t="s">
        <v>33</v>
      </c>
      <c r="B9" s="13" t="s">
        <v>23</v>
      </c>
      <c r="C9" s="14">
        <v>58654250</v>
      </c>
      <c r="D9" s="13" t="s">
        <v>16</v>
      </c>
      <c r="E9" s="13" t="s">
        <v>32</v>
      </c>
      <c r="F9" s="13" t="s">
        <v>32</v>
      </c>
      <c r="G9" s="13" t="s">
        <v>32</v>
      </c>
      <c r="H9" s="13" t="s">
        <v>32</v>
      </c>
      <c r="I9" s="14">
        <f t="shared" si="1"/>
        <v>4</v>
      </c>
      <c r="J9" s="12">
        <f t="shared" si="2"/>
        <v>4</v>
      </c>
    </row>
    <row r="10" spans="1:12" x14ac:dyDescent="0.2">
      <c r="A10" s="8" t="s">
        <v>33</v>
      </c>
      <c r="B10" s="9" t="s">
        <v>20</v>
      </c>
      <c r="C10" s="10">
        <v>58497196</v>
      </c>
      <c r="D10" s="9" t="s">
        <v>10</v>
      </c>
      <c r="E10" s="9" t="s">
        <v>32</v>
      </c>
      <c r="F10" s="9" t="s">
        <v>32</v>
      </c>
      <c r="G10" s="11"/>
      <c r="H10" s="9" t="s">
        <v>32</v>
      </c>
      <c r="I10" s="10">
        <f t="shared" si="1"/>
        <v>3</v>
      </c>
      <c r="J10" s="12">
        <f t="shared" si="2"/>
        <v>3</v>
      </c>
    </row>
    <row r="11" spans="1:12" x14ac:dyDescent="0.2">
      <c r="A11" s="8" t="s">
        <v>33</v>
      </c>
      <c r="B11" s="13" t="s">
        <v>34</v>
      </c>
      <c r="C11" s="14">
        <v>58786756</v>
      </c>
      <c r="D11" s="13" t="s">
        <v>16</v>
      </c>
      <c r="E11" s="15"/>
      <c r="F11" s="13" t="s">
        <v>32</v>
      </c>
      <c r="G11" s="13" t="s">
        <v>32</v>
      </c>
      <c r="H11" s="13" t="s">
        <v>32</v>
      </c>
      <c r="I11" s="14">
        <f t="shared" si="1"/>
        <v>3</v>
      </c>
      <c r="J11" s="12">
        <f t="shared" si="2"/>
        <v>3</v>
      </c>
    </row>
    <row r="12" spans="1:12" x14ac:dyDescent="0.2">
      <c r="A12" s="8" t="s">
        <v>33</v>
      </c>
      <c r="B12" s="9" t="s">
        <v>18</v>
      </c>
      <c r="C12" s="10">
        <v>58607629</v>
      </c>
      <c r="D12" s="9" t="s">
        <v>19</v>
      </c>
      <c r="E12" s="9" t="s">
        <v>32</v>
      </c>
      <c r="F12" s="9" t="s">
        <v>32</v>
      </c>
      <c r="G12" s="9" t="s">
        <v>32</v>
      </c>
      <c r="H12" s="11"/>
      <c r="I12" s="10">
        <f t="shared" si="1"/>
        <v>3</v>
      </c>
      <c r="J12" s="12">
        <f t="shared" si="2"/>
        <v>3</v>
      </c>
    </row>
    <row r="13" spans="1:12" x14ac:dyDescent="0.2">
      <c r="A13" s="8" t="s">
        <v>33</v>
      </c>
      <c r="B13" s="13" t="s">
        <v>35</v>
      </c>
      <c r="C13" s="14">
        <v>58521650</v>
      </c>
      <c r="D13" s="13" t="s">
        <v>12</v>
      </c>
      <c r="E13" s="15"/>
      <c r="F13" s="13" t="s">
        <v>32</v>
      </c>
      <c r="G13" s="13" t="s">
        <v>32</v>
      </c>
      <c r="H13" s="13" t="s">
        <v>32</v>
      </c>
      <c r="I13" s="14">
        <f t="shared" si="1"/>
        <v>3</v>
      </c>
      <c r="J13" s="12">
        <f t="shared" si="2"/>
        <v>3</v>
      </c>
    </row>
    <row r="14" spans="1:12" x14ac:dyDescent="0.2">
      <c r="A14" s="8" t="s">
        <v>33</v>
      </c>
      <c r="B14" s="9" t="s">
        <v>36</v>
      </c>
      <c r="C14" s="10">
        <v>58521742</v>
      </c>
      <c r="D14" s="9" t="s">
        <v>12</v>
      </c>
      <c r="E14" s="9" t="s">
        <v>32</v>
      </c>
      <c r="F14" s="9" t="s">
        <v>32</v>
      </c>
      <c r="G14" s="9" t="s">
        <v>32</v>
      </c>
      <c r="H14" s="11"/>
      <c r="I14" s="10">
        <f t="shared" si="1"/>
        <v>3</v>
      </c>
      <c r="J14" s="12">
        <f t="shared" si="2"/>
        <v>3</v>
      </c>
    </row>
    <row r="15" spans="1:12" x14ac:dyDescent="0.2">
      <c r="A15" s="8" t="s">
        <v>33</v>
      </c>
      <c r="B15" s="13" t="s">
        <v>37</v>
      </c>
      <c r="C15" s="14">
        <v>59294700</v>
      </c>
      <c r="D15" s="13" t="s">
        <v>38</v>
      </c>
      <c r="E15" s="15"/>
      <c r="F15" s="13" t="s">
        <v>32</v>
      </c>
      <c r="G15" s="13" t="s">
        <v>32</v>
      </c>
      <c r="H15" s="13" t="s">
        <v>32</v>
      </c>
      <c r="I15" s="14">
        <f t="shared" si="1"/>
        <v>3</v>
      </c>
      <c r="J15" s="12">
        <f t="shared" si="2"/>
        <v>3</v>
      </c>
    </row>
    <row r="16" spans="1:12" x14ac:dyDescent="0.2">
      <c r="A16" s="8" t="s">
        <v>33</v>
      </c>
      <c r="B16" s="9" t="s">
        <v>39</v>
      </c>
      <c r="C16" s="10">
        <v>58607445</v>
      </c>
      <c r="D16" s="9" t="s">
        <v>40</v>
      </c>
      <c r="E16" s="9" t="s">
        <v>32</v>
      </c>
      <c r="F16" s="11"/>
      <c r="G16" s="11"/>
      <c r="H16" s="9" t="s">
        <v>32</v>
      </c>
      <c r="I16" s="10">
        <f t="shared" si="1"/>
        <v>2</v>
      </c>
      <c r="J16" s="12">
        <f t="shared" si="2"/>
        <v>2</v>
      </c>
    </row>
    <row r="17" spans="1:10" x14ac:dyDescent="0.2">
      <c r="A17" s="8" t="s">
        <v>33</v>
      </c>
      <c r="B17" s="13" t="s">
        <v>41</v>
      </c>
      <c r="C17" s="14">
        <v>58575688</v>
      </c>
      <c r="D17" s="13" t="s">
        <v>11</v>
      </c>
      <c r="E17" s="13" t="s">
        <v>32</v>
      </c>
      <c r="F17" s="13" t="s">
        <v>32</v>
      </c>
      <c r="G17" s="15"/>
      <c r="H17" s="15"/>
      <c r="I17" s="14">
        <f t="shared" si="1"/>
        <v>2</v>
      </c>
      <c r="J17" s="12">
        <f t="shared" si="2"/>
        <v>2</v>
      </c>
    </row>
    <row r="18" spans="1:10" x14ac:dyDescent="0.2">
      <c r="A18" s="8" t="s">
        <v>33</v>
      </c>
      <c r="B18" s="9" t="s">
        <v>42</v>
      </c>
      <c r="C18" s="10">
        <v>59293609</v>
      </c>
      <c r="D18" s="9" t="s">
        <v>43</v>
      </c>
      <c r="E18" s="9" t="s">
        <v>32</v>
      </c>
      <c r="F18" s="9" t="s">
        <v>32</v>
      </c>
      <c r="G18" s="11"/>
      <c r="H18" s="11"/>
      <c r="I18" s="10">
        <f t="shared" si="1"/>
        <v>2</v>
      </c>
      <c r="J18" s="12">
        <f t="shared" si="2"/>
        <v>2</v>
      </c>
    </row>
    <row r="19" spans="1:10" x14ac:dyDescent="0.2">
      <c r="A19" s="8" t="s">
        <v>33</v>
      </c>
      <c r="B19" s="13" t="s">
        <v>44</v>
      </c>
      <c r="C19" s="14">
        <v>58794690</v>
      </c>
      <c r="D19" s="13" t="s">
        <v>45</v>
      </c>
      <c r="E19" s="15"/>
      <c r="F19" s="13" t="s">
        <v>32</v>
      </c>
      <c r="G19" s="15"/>
      <c r="H19" s="13" t="s">
        <v>32</v>
      </c>
      <c r="I19" s="14">
        <f t="shared" si="1"/>
        <v>2</v>
      </c>
      <c r="J19" s="12">
        <f t="shared" si="2"/>
        <v>2</v>
      </c>
    </row>
    <row r="20" spans="1:10" x14ac:dyDescent="0.2">
      <c r="A20" s="8" t="s">
        <v>33</v>
      </c>
      <c r="B20" s="9" t="s">
        <v>46</v>
      </c>
      <c r="C20" s="10">
        <v>58530310</v>
      </c>
      <c r="D20" s="9" t="s">
        <v>47</v>
      </c>
      <c r="E20" s="11"/>
      <c r="F20" s="11"/>
      <c r="G20" s="11"/>
      <c r="H20" s="9" t="s">
        <v>32</v>
      </c>
      <c r="I20" s="10">
        <f t="shared" si="1"/>
        <v>1</v>
      </c>
      <c r="J20" s="12">
        <f t="shared" si="2"/>
        <v>1</v>
      </c>
    </row>
    <row r="21" spans="1:10" x14ac:dyDescent="0.2">
      <c r="A21" s="8" t="s">
        <v>33</v>
      </c>
      <c r="B21" s="13" t="s">
        <v>5</v>
      </c>
      <c r="C21" s="14">
        <v>58520444</v>
      </c>
      <c r="D21" s="13" t="s">
        <v>6</v>
      </c>
      <c r="E21" s="13" t="s">
        <v>32</v>
      </c>
      <c r="F21" s="15"/>
      <c r="G21" s="15"/>
      <c r="H21" s="15"/>
      <c r="I21" s="14">
        <f t="shared" si="1"/>
        <v>1</v>
      </c>
      <c r="J21" s="12">
        <f t="shared" si="2"/>
        <v>1</v>
      </c>
    </row>
    <row r="22" spans="1:10" x14ac:dyDescent="0.2">
      <c r="A22" s="8" t="s">
        <v>33</v>
      </c>
      <c r="B22" s="9" t="s">
        <v>48</v>
      </c>
      <c r="C22" s="10">
        <v>59288255</v>
      </c>
      <c r="D22" s="9" t="s">
        <v>49</v>
      </c>
      <c r="E22" s="11"/>
      <c r="F22" s="9" t="s">
        <v>32</v>
      </c>
      <c r="G22" s="11"/>
      <c r="H22" s="11"/>
      <c r="I22" s="10">
        <f t="shared" si="1"/>
        <v>1</v>
      </c>
      <c r="J22" s="12">
        <f t="shared" si="2"/>
        <v>1</v>
      </c>
    </row>
    <row r="23" spans="1:10" x14ac:dyDescent="0.2">
      <c r="A23" s="8" t="s">
        <v>33</v>
      </c>
      <c r="B23" s="13" t="s">
        <v>50</v>
      </c>
      <c r="C23" s="14">
        <v>58528050</v>
      </c>
      <c r="D23" s="13" t="s">
        <v>51</v>
      </c>
      <c r="E23" s="15"/>
      <c r="F23" s="15"/>
      <c r="G23" s="13" t="s">
        <v>32</v>
      </c>
      <c r="H23" s="15"/>
      <c r="I23" s="14">
        <f t="shared" si="1"/>
        <v>1</v>
      </c>
      <c r="J23" s="12">
        <f t="shared" si="2"/>
        <v>1</v>
      </c>
    </row>
    <row r="24" spans="1:10" x14ac:dyDescent="0.2">
      <c r="A24" s="8" t="s">
        <v>33</v>
      </c>
      <c r="B24" s="9" t="s">
        <v>52</v>
      </c>
      <c r="C24" s="10">
        <v>58618183</v>
      </c>
      <c r="D24" s="9" t="s">
        <v>49</v>
      </c>
      <c r="E24" s="11"/>
      <c r="F24" s="9" t="s">
        <v>32</v>
      </c>
      <c r="G24" s="11"/>
      <c r="H24" s="11"/>
      <c r="I24" s="10">
        <f t="shared" si="1"/>
        <v>1</v>
      </c>
      <c r="J24" s="12">
        <f t="shared" si="2"/>
        <v>1</v>
      </c>
    </row>
    <row r="25" spans="1:10" x14ac:dyDescent="0.2">
      <c r="A25" s="8" t="s">
        <v>33</v>
      </c>
      <c r="B25" s="13" t="s">
        <v>53</v>
      </c>
      <c r="C25" s="14">
        <v>58936204</v>
      </c>
      <c r="D25" s="13" t="s">
        <v>54</v>
      </c>
      <c r="E25" s="15"/>
      <c r="F25" s="13" t="s">
        <v>32</v>
      </c>
      <c r="G25" s="15"/>
      <c r="H25" s="15"/>
      <c r="I25" s="14">
        <f t="shared" si="1"/>
        <v>1</v>
      </c>
      <c r="J25" s="12">
        <f t="shared" si="2"/>
        <v>1</v>
      </c>
    </row>
    <row r="26" spans="1:10" x14ac:dyDescent="0.2">
      <c r="A26" s="8" t="s">
        <v>33</v>
      </c>
      <c r="B26" s="9" t="s">
        <v>13</v>
      </c>
      <c r="C26" s="10">
        <v>57942409</v>
      </c>
      <c r="D26" s="9" t="s">
        <v>14</v>
      </c>
      <c r="E26" s="11"/>
      <c r="F26" s="11"/>
      <c r="G26" s="11"/>
      <c r="H26" s="9" t="s">
        <v>32</v>
      </c>
      <c r="I26" s="10">
        <f t="shared" si="1"/>
        <v>1</v>
      </c>
      <c r="J26" s="12">
        <f t="shared" si="2"/>
        <v>1</v>
      </c>
    </row>
    <row r="27" spans="1:10" x14ac:dyDescent="0.2">
      <c r="A27" s="8" t="s">
        <v>33</v>
      </c>
      <c r="B27" s="13" t="s">
        <v>22</v>
      </c>
      <c r="C27" s="14">
        <v>58521705</v>
      </c>
      <c r="D27" s="13" t="s">
        <v>55</v>
      </c>
      <c r="E27" s="15"/>
      <c r="F27" s="13" t="s">
        <v>32</v>
      </c>
      <c r="G27" s="15"/>
      <c r="H27" s="15"/>
      <c r="I27" s="14">
        <f t="shared" si="1"/>
        <v>1</v>
      </c>
      <c r="J27" s="12">
        <f t="shared" si="2"/>
        <v>1</v>
      </c>
    </row>
    <row r="28" spans="1:10" x14ac:dyDescent="0.2">
      <c r="A28" s="8" t="s">
        <v>33</v>
      </c>
      <c r="B28" s="9" t="s">
        <v>21</v>
      </c>
      <c r="C28" s="10">
        <v>59304929</v>
      </c>
      <c r="D28" s="9" t="s">
        <v>15</v>
      </c>
      <c r="E28" s="11"/>
      <c r="F28" s="9" t="s">
        <v>32</v>
      </c>
      <c r="G28" s="11"/>
      <c r="H28" s="11"/>
      <c r="I28" s="10">
        <f t="shared" si="1"/>
        <v>1</v>
      </c>
      <c r="J28" s="12">
        <f t="shared" si="2"/>
        <v>1</v>
      </c>
    </row>
    <row r="31" spans="1:10" x14ac:dyDescent="0.2">
      <c r="I31" s="2" t="s">
        <v>56</v>
      </c>
      <c r="J31" s="2">
        <f>SUM(J4:J5)+SUM(J8:J28)</f>
        <v>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Muhammad Mahad</dc:creator>
  <cp:lastModifiedBy>MIR Muhammad Mahad</cp:lastModifiedBy>
  <dcterms:created xsi:type="dcterms:W3CDTF">2026-06-10T14:34:21Z</dcterms:created>
  <dcterms:modified xsi:type="dcterms:W3CDTF">2026-06-10T14:38:27Z</dcterms:modified>
</cp:coreProperties>
</file>