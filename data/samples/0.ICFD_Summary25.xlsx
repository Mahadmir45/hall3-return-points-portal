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Summary" sheetId="1" r:id="rId5"/>
    <sheet state="visible" name="1.TOW 2526" sheetId="2" r:id="rId6"/>
    <sheet state="visible" name="2.a Basketball Sports Club" sheetId="3" r:id="rId7"/>
    <sheet state="visible" name="2.b Basketball 2526" sheetId="4" r:id="rId8"/>
    <sheet state="visible" name="3.a Table Tennis  Sports Club" sheetId="5" r:id="rId9"/>
    <sheet state="visible" name="3.b Table Tennis 2526" sheetId="6" r:id="rId10"/>
    <sheet state="visible" name="4. Badminton" sheetId="7" r:id="rId11"/>
    <sheet state="visible" name="5. Futsal" sheetId="8" r:id="rId12"/>
    <sheet state="visible" name="6. Singcon" sheetId="9" r:id="rId13"/>
    <sheet state="visible" name="Template2024" sheetId="10" r:id="rId14"/>
    <sheet state="visible" name="template2" sheetId="11" r:id="rId15"/>
    <sheet state="visible" name="Template-old" sheetId="12" r:id="rId16"/>
    <sheet state="visible" name="Remarks" sheetId="13" r:id="rId17"/>
    <sheet state="visible" name="HallT" sheetId="14" r:id="rId18"/>
    <sheet state="visible" name="TestNewFileok" sheetId="15" r:id="rId19"/>
  </sheets>
  <definedNames>
    <definedName hidden="1" localSheetId="1" name="_xlnm._FilterDatabase">'1.TOW 2526'!$A$17:$S$37</definedName>
    <definedName hidden="1" localSheetId="3" name="_xlnm._FilterDatabase">'2.b Basketball 2526'!$A$67:$K$92</definedName>
    <definedName hidden="1" localSheetId="4" name="_xlnm._FilterDatabase">'3.a Table Tennis  Sports Club'!$A$5:$L$20</definedName>
    <definedName hidden="1" localSheetId="5" name="_xlnm._FilterDatabase">'3.b Table Tennis 2526'!$A$21:$S$31</definedName>
    <definedName hidden="1" localSheetId="6" name="_xlnm._FilterDatabase">'4. Badminton'!$A$22:$S$40</definedName>
    <definedName hidden="1" localSheetId="7" name="_xlnm._FilterDatabase">'5. Futsal'!$B$34:$V$43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tc={f5256277-aed6-4f43-abe9-849d794371f9}</author>
  </authors>
  <commentList>
    <comment authorId="0" xr:uid="{f5256277-aed6-4f43-abe9-849d794371f9}" ref="L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help coordinate with other hall
</t>
      </text>
    </comment>
  </commentList>
</comments>
</file>

<file path=xl/sharedStrings.xml><?xml version="1.0" encoding="utf-8"?>
<sst xmlns="http://schemas.openxmlformats.org/spreadsheetml/2006/main" count="1842" uniqueCount="376">
  <si>
    <t>Reminder:</t>
  </si>
  <si>
    <t>*** This form / folder should be accessed by RTs/RM only</t>
  </si>
  <si>
    <t>*** RT as bridge between SRO and Team manager/player</t>
  </si>
  <si>
    <t xml:space="preserve">*** This spreadsheet will be important for returning later </t>
  </si>
  <si>
    <t>1. RTs should provide a summary</t>
  </si>
  <si>
    <t>2. After the activity, the team manager should provide the players/cheer team's information and photos</t>
  </si>
  <si>
    <t>3. RTs please input the information to this spreadsheet after collecting the information</t>
  </si>
  <si>
    <t>Team Manger max＝12 ; Player max = 12</t>
  </si>
  <si>
    <t>Score system: Actual Player = 6; Backup Player = 2; + attendance (3 max) ; +good performance (3 max) (Please remember to consider the workload/contribution among different games/competition)</t>
  </si>
  <si>
    <t>Award: Gold= 15, silver = 10 , Bronze = 5; 4th place = ??</t>
  </si>
  <si>
    <t>HSO PIC Performance rate: Excellent = 5  Above average = 4 ; average = 3; Below average = 2; Poor = 1; No involvement = 0</t>
  </si>
  <si>
    <t>Name event</t>
  </si>
  <si>
    <t>HMT PIC</t>
  </si>
  <si>
    <t>HSO PIC</t>
  </si>
  <si>
    <t>Performance
Rating</t>
  </si>
  <si>
    <t>Tentative date</t>
  </si>
  <si>
    <t>Time</t>
  </si>
  <si>
    <t>Description</t>
  </si>
  <si>
    <t>Tentative no. of participants</t>
  </si>
  <si>
    <t>Budget</t>
  </si>
  <si>
    <t>Recruitment Caption</t>
  </si>
  <si>
    <t>Reels Caption</t>
  </si>
  <si>
    <t>Post Caption</t>
  </si>
  <si>
    <t>Gained Pts</t>
  </si>
  <si>
    <t>Players</t>
  </si>
  <si>
    <t>Room No.</t>
  </si>
  <si>
    <t>Cheer Team</t>
  </si>
  <si>
    <t>SemA</t>
  </si>
  <si>
    <t>TOW</t>
  </si>
  <si>
    <t>Miya</t>
  </si>
  <si>
    <t>KURNIAWAN Joseph Anggono</t>
  </si>
  <si>
    <t>29/10/2025</t>
  </si>
  <si>
    <t>18:30-22:00</t>
  </si>
  <si>
    <t>Basketball</t>
  </si>
  <si>
    <t>CHOWDHURY Samin</t>
  </si>
  <si>
    <t>10/11, 10/25</t>
  </si>
  <si>
    <t>Table Tennis</t>
  </si>
  <si>
    <t>SemB</t>
  </si>
  <si>
    <t>Badminton</t>
  </si>
  <si>
    <t>\</t>
  </si>
  <si>
    <t>Futsal</t>
  </si>
  <si>
    <t>Singcon</t>
  </si>
  <si>
    <t>No</t>
  </si>
  <si>
    <t>FEMALE</t>
  </si>
  <si>
    <t>SID</t>
  </si>
  <si>
    <t xml:space="preserve">Name (Last name, First name) </t>
  </si>
  <si>
    <t>Selection</t>
  </si>
  <si>
    <t>Training (16/9/2025)
*By SRO</t>
  </si>
  <si>
    <t>Training (19/9/2025)</t>
  </si>
  <si>
    <t>Training (20/9/2025)</t>
  </si>
  <si>
    <t>Training (21/09/2025)</t>
  </si>
  <si>
    <t>Competition (29/09/2025)</t>
  </si>
  <si>
    <t>Problem</t>
  </si>
  <si>
    <t>Participation Points</t>
  </si>
  <si>
    <t>Extra Points</t>
  </si>
  <si>
    <t>Training</t>
  </si>
  <si>
    <t>SubTotal</t>
  </si>
  <si>
    <t>Award Pt</t>
  </si>
  <si>
    <t>Cheering Pt</t>
  </si>
  <si>
    <t>Final total</t>
  </si>
  <si>
    <t>total returning pt</t>
  </si>
  <si>
    <t>PLAYER</t>
  </si>
  <si>
    <t>Wang Yantong</t>
  </si>
  <si>
    <t>302B</t>
  </si>
  <si>
    <t>V</t>
  </si>
  <si>
    <t xml:space="preserve">Jiang Jinchen </t>
  </si>
  <si>
    <t>301B</t>
  </si>
  <si>
    <t>CHEN Jiayi</t>
  </si>
  <si>
    <t>301A</t>
  </si>
  <si>
    <t>Li Toi Yan</t>
  </si>
  <si>
    <t>701A</t>
  </si>
  <si>
    <t>Li Xinyu</t>
  </si>
  <si>
    <t>901B</t>
  </si>
  <si>
    <t>Valerie Graciella</t>
  </si>
  <si>
    <t>Yan Zhihui</t>
  </si>
  <si>
    <t>202B</t>
  </si>
  <si>
    <t>Gao Jiaxin</t>
  </si>
  <si>
    <t>XIANG Yifan</t>
  </si>
  <si>
    <t>1002A</t>
  </si>
  <si>
    <t>REN Yunxuan</t>
  </si>
  <si>
    <t>704B</t>
  </si>
  <si>
    <t>CHEERING</t>
  </si>
  <si>
    <t>Yuna Huh</t>
  </si>
  <si>
    <t>704A</t>
  </si>
  <si>
    <t>NOT ATTEND</t>
  </si>
  <si>
    <t>WEI Zhihan</t>
  </si>
  <si>
    <t>805A</t>
  </si>
  <si>
    <t>DU Xiaxuan</t>
  </si>
  <si>
    <t>705A</t>
  </si>
  <si>
    <t>MALE</t>
  </si>
  <si>
    <t>JALIL Ayman Afroz</t>
  </si>
  <si>
    <t>103B</t>
  </si>
  <si>
    <t xml:space="preserve">SIDDIQUI Owais Ahmed </t>
  </si>
  <si>
    <t>206A</t>
  </si>
  <si>
    <t xml:space="preserve">SUN Haocheng </t>
  </si>
  <si>
    <t>405B</t>
  </si>
  <si>
    <t>S M Atiquzzaman Anaf</t>
  </si>
  <si>
    <t>906A</t>
  </si>
  <si>
    <t>Zhong Yongqiang</t>
  </si>
  <si>
    <t>303B</t>
  </si>
  <si>
    <t>Basarah Michael Terence</t>
  </si>
  <si>
    <t>304B</t>
  </si>
  <si>
    <t xml:space="preserve">Hu Pengfei </t>
  </si>
  <si>
    <t>206B</t>
  </si>
  <si>
    <t xml:space="preserve">XIE Pengfei </t>
  </si>
  <si>
    <t>SANTOSA Steven Sie</t>
  </si>
  <si>
    <t>304A</t>
  </si>
  <si>
    <t xml:space="preserve">MIR Muhammad Mahad </t>
  </si>
  <si>
    <t>102A</t>
  </si>
  <si>
    <t>BACKUP</t>
  </si>
  <si>
    <t>Zhong Wenyuan</t>
  </si>
  <si>
    <t>Tang Xiwei</t>
  </si>
  <si>
    <t>906B</t>
  </si>
  <si>
    <t>WU CHEUK HEI</t>
  </si>
  <si>
    <t>503B</t>
  </si>
  <si>
    <t>Lau Tin Chi</t>
  </si>
  <si>
    <t>604A</t>
  </si>
  <si>
    <t>ZHOU Junlin</t>
  </si>
  <si>
    <t>601B</t>
  </si>
  <si>
    <t>Wang Dingchao</t>
  </si>
  <si>
    <t>Chang Ho Yeung</t>
  </si>
  <si>
    <t>604B</t>
  </si>
  <si>
    <t xml:space="preserve">Li Tang Cheong </t>
  </si>
  <si>
    <t>503A</t>
  </si>
  <si>
    <t>Wong Chi Kit</t>
  </si>
  <si>
    <t>Team Manager</t>
  </si>
  <si>
    <t>ADNAN, Umer</t>
  </si>
  <si>
    <t>N/A</t>
  </si>
  <si>
    <t>disappear before the formal male competition; and returned during the competition</t>
  </si>
  <si>
    <t>HSO</t>
  </si>
  <si>
    <t>No returning point given to HSO here</t>
  </si>
  <si>
    <t>total returning</t>
  </si>
  <si>
    <t>TYPE</t>
  </si>
  <si>
    <t>28/9</t>
  </si>
  <si>
    <t>3/10/2025</t>
  </si>
  <si>
    <t>4/10/2025</t>
  </si>
  <si>
    <t>5/10/2025</t>
  </si>
  <si>
    <t>Coach</t>
  </si>
  <si>
    <t>pengfei Xie</t>
  </si>
  <si>
    <t>Y</t>
  </si>
  <si>
    <t>PARTICIPANT</t>
  </si>
  <si>
    <t>Michael Terence Basarah</t>
  </si>
  <si>
    <t>SUN Haocheng</t>
  </si>
  <si>
    <t>WANG Dingchao</t>
  </si>
  <si>
    <t>Zoe</t>
  </si>
  <si>
    <t>403B</t>
  </si>
  <si>
    <t>Man Dick Ho</t>
  </si>
  <si>
    <t>1006B</t>
  </si>
  <si>
    <t xml:space="preserve">Owais Ahmed Siddiqui </t>
  </si>
  <si>
    <t>Zheng Sang Lung</t>
  </si>
  <si>
    <t>505A</t>
  </si>
  <si>
    <t xml:space="preserve">Zhong Yongqiang </t>
  </si>
  <si>
    <t>303b</t>
  </si>
  <si>
    <t>Chan Ka Hei</t>
  </si>
  <si>
    <t>Chong Hoi Him</t>
  </si>
  <si>
    <t>1005B</t>
  </si>
  <si>
    <t>Li Pak Yin Pazu</t>
  </si>
  <si>
    <t>104B</t>
  </si>
  <si>
    <t>NG Hoi Yuen</t>
  </si>
  <si>
    <t xml:space="preserve">pengfeihu </t>
  </si>
  <si>
    <t>206b</t>
  </si>
  <si>
    <t>906b</t>
  </si>
  <si>
    <t>Total</t>
  </si>
  <si>
    <t>Training (06/10/2025)</t>
  </si>
  <si>
    <t>Training (07/10/2025)</t>
  </si>
  <si>
    <t>Training (10/10/2025)</t>
  </si>
  <si>
    <t>Competition (11/10/2025)</t>
  </si>
  <si>
    <t>Training (13/10/2025)</t>
  </si>
  <si>
    <t>Training (18/10/2025)</t>
  </si>
  <si>
    <t>Training 20/10</t>
  </si>
  <si>
    <t>(Men)Team manager</t>
  </si>
  <si>
    <t>LI, Shu Yi</t>
  </si>
  <si>
    <t>(Women)Team manager</t>
  </si>
  <si>
    <t>No.</t>
  </si>
  <si>
    <t>Yang Peiyu</t>
  </si>
  <si>
    <t>303A</t>
  </si>
  <si>
    <t>Li Tsz Tsun</t>
  </si>
  <si>
    <t>104b</t>
  </si>
  <si>
    <t>Wong Chun kit</t>
  </si>
  <si>
    <t>406A</t>
  </si>
  <si>
    <t>LAU Tin Chi</t>
  </si>
  <si>
    <t>YING Beining</t>
  </si>
  <si>
    <t>602A</t>
  </si>
  <si>
    <t>UNSELECTED</t>
  </si>
  <si>
    <t>Leong Ho Yin</t>
  </si>
  <si>
    <t>1006A</t>
  </si>
  <si>
    <t>WANG Yantong</t>
  </si>
  <si>
    <t>Li Yee Nok</t>
  </si>
  <si>
    <t>v</t>
  </si>
  <si>
    <t>BIAN Gufei</t>
  </si>
  <si>
    <t>Valerie GRACIELLA</t>
  </si>
  <si>
    <t>YUSUF Elizabeth Andrea</t>
  </si>
  <si>
    <t>902A</t>
  </si>
  <si>
    <t>COACHING</t>
  </si>
  <si>
    <t>Ying Beining</t>
  </si>
  <si>
    <t>Summary:</t>
  </si>
  <si>
    <t>Full Name</t>
  </si>
  <si>
    <t>Room</t>
  </si>
  <si>
    <t>PLAYER POINTS</t>
  </si>
  <si>
    <t>Team Manager (Male)</t>
  </si>
  <si>
    <t>Cheering Team (Male)</t>
  </si>
  <si>
    <t>Team Manager (Female)</t>
  </si>
  <si>
    <t>Cheering Team (Female)</t>
  </si>
  <si>
    <t>Total Point (Raw)</t>
  </si>
  <si>
    <t>TEAM MANAGER</t>
  </si>
  <si>
    <t>302A</t>
  </si>
  <si>
    <t>Column 1</t>
  </si>
  <si>
    <t>Column 2</t>
  </si>
  <si>
    <t>Column 3</t>
  </si>
  <si>
    <t>1st training (12/10)</t>
  </si>
  <si>
    <t>2nd training (17/10)</t>
  </si>
  <si>
    <t>3rd training (18/10)</t>
  </si>
  <si>
    <t>4th training (25/10)</t>
  </si>
  <si>
    <t>5th training (7/11)</t>
  </si>
  <si>
    <t>✔</t>
  </si>
  <si>
    <t>Participant</t>
  </si>
  <si>
    <t>-</t>
  </si>
  <si>
    <t>Jalil Ayman Afroz</t>
  </si>
  <si>
    <t>ADNAN Umer</t>
  </si>
  <si>
    <t>SIDDIQUI Owais Ahmed</t>
  </si>
  <si>
    <t>Anaf</t>
  </si>
  <si>
    <t>Ibrahim</t>
  </si>
  <si>
    <t>103A</t>
  </si>
  <si>
    <t>Ashar</t>
  </si>
  <si>
    <t xml:space="preserve">total returning </t>
  </si>
  <si>
    <t>Training (09/11/2025)</t>
  </si>
  <si>
    <t>Training (11/11/2025)</t>
  </si>
  <si>
    <t>Training (12/11/2025)</t>
  </si>
  <si>
    <t>Training(13/11/2025)</t>
  </si>
  <si>
    <t>Training(14/11/2025)</t>
  </si>
  <si>
    <t>Competition (15/11025)</t>
  </si>
  <si>
    <t>Chen Siyi</t>
  </si>
  <si>
    <t>1001B</t>
  </si>
  <si>
    <t>LI Yee Nok</t>
  </si>
  <si>
    <t>Li Shu Yi</t>
  </si>
  <si>
    <t>/</t>
  </si>
  <si>
    <t>1st Selection</t>
  </si>
  <si>
    <t>2nd Selection</t>
  </si>
  <si>
    <t>1st Training</t>
  </si>
  <si>
    <t>2nd Training</t>
  </si>
  <si>
    <t>3rd Training</t>
  </si>
  <si>
    <t>4th Training</t>
  </si>
  <si>
    <t>Competition Day</t>
  </si>
  <si>
    <t>Player</t>
  </si>
  <si>
    <t>Wootinun Ouppapong</t>
  </si>
  <si>
    <t>602B</t>
  </si>
  <si>
    <t xml:space="preserve">Wan Chun Hin </t>
  </si>
  <si>
    <t>905A</t>
  </si>
  <si>
    <t>Cheering</t>
  </si>
  <si>
    <t>Kurniawan Joseph Anggono</t>
  </si>
  <si>
    <t>Loi Tsun Wo</t>
  </si>
  <si>
    <t>1005A</t>
  </si>
  <si>
    <t>Chan Chun Lam</t>
  </si>
  <si>
    <t>905B</t>
  </si>
  <si>
    <t>Unselected</t>
  </si>
  <si>
    <t>Ng Hoi Yuen</t>
  </si>
  <si>
    <t>Ho Ho Yin</t>
  </si>
  <si>
    <t>WANG Ding Chao</t>
  </si>
  <si>
    <t>Tang Xi Wei</t>
  </si>
  <si>
    <t>Wong Chun Kit</t>
  </si>
  <si>
    <t xml:space="preserve">Chan Yat Hin </t>
  </si>
  <si>
    <t>306A</t>
  </si>
  <si>
    <t>Chau Wing Nam</t>
  </si>
  <si>
    <t>105A</t>
  </si>
  <si>
    <t>Zhang Yahan</t>
  </si>
  <si>
    <t>Chan Yat Yiu Amity</t>
  </si>
  <si>
    <t>201A</t>
  </si>
  <si>
    <t>Wei Zhi Han</t>
  </si>
  <si>
    <t>Yuan Jia Han</t>
  </si>
  <si>
    <t>805B</t>
  </si>
  <si>
    <t>Yan Zhi Hui</t>
  </si>
  <si>
    <t>Ren Yun Xuan</t>
  </si>
  <si>
    <t>403A</t>
  </si>
  <si>
    <t>Man Yu Yi</t>
  </si>
  <si>
    <t>1002B</t>
  </si>
  <si>
    <t>Chan Cheuk Yan</t>
  </si>
  <si>
    <t>106A</t>
  </si>
  <si>
    <t>Kwong Sze Yuet</t>
  </si>
  <si>
    <t>1st training (SKM)</t>
  </si>
  <si>
    <t>2nd training (SKM)</t>
  </si>
  <si>
    <t>3rd training (SKM)</t>
  </si>
  <si>
    <t>4th training (MOS)</t>
  </si>
  <si>
    <t>5th training (Hiu Ming Street)</t>
  </si>
  <si>
    <t>6th training (MOS)</t>
  </si>
  <si>
    <t xml:space="preserve">Female 1st </t>
  </si>
  <si>
    <t>Female 2nd</t>
  </si>
  <si>
    <t>Competition Day1</t>
  </si>
  <si>
    <t>Competition Day 2</t>
  </si>
  <si>
    <t>✓</t>
  </si>
  <si>
    <t>✓（late）</t>
  </si>
  <si>
    <t>Li Shu Yi (Zoe)</t>
  </si>
  <si>
    <t>Wang Chun Ho Oscar</t>
  </si>
  <si>
    <t>505B</t>
  </si>
  <si>
    <t>KHAN Muhammad Ibrahim</t>
  </si>
  <si>
    <t>Ashar Ahmed</t>
  </si>
  <si>
    <t>Ho Wai Yin (Matthew)</t>
  </si>
  <si>
    <t xml:space="preserve">Mir Muhammad Mahad </t>
  </si>
  <si>
    <t>Cheng Yu Chun</t>
  </si>
  <si>
    <t>502A</t>
  </si>
  <si>
    <t>BASARAH Michael Terence</t>
  </si>
  <si>
    <t>Li Hoi Ching Elsa</t>
  </si>
  <si>
    <t>404A</t>
  </si>
  <si>
    <t>Yuan Jiahan</t>
  </si>
  <si>
    <t>Zou Siyi</t>
  </si>
  <si>
    <t>703B</t>
  </si>
  <si>
    <t>Chau wing nam</t>
  </si>
  <si>
    <t>105a</t>
  </si>
  <si>
    <t>NGAI TSZ YING</t>
  </si>
  <si>
    <t>Backup</t>
  </si>
  <si>
    <t>Wei Zhihan</t>
  </si>
  <si>
    <t>MAK Kwan Tung</t>
  </si>
  <si>
    <t>903A</t>
  </si>
  <si>
    <t>LAM Chung Yan</t>
  </si>
  <si>
    <t>Sound Check (8/4/2025)</t>
  </si>
  <si>
    <t>Competition (9/04/2025)</t>
  </si>
  <si>
    <t>Position</t>
  </si>
  <si>
    <t>Extra</t>
  </si>
  <si>
    <t>subTotal</t>
  </si>
  <si>
    <t>Award Score</t>
  </si>
  <si>
    <t>Cheering Score</t>
  </si>
  <si>
    <t>Final Total</t>
  </si>
  <si>
    <t>Solo</t>
  </si>
  <si>
    <t>Tang Tsz Tung</t>
  </si>
  <si>
    <t>806B</t>
  </si>
  <si>
    <t>Group</t>
  </si>
  <si>
    <t>Cheering Team</t>
  </si>
  <si>
    <t>704b</t>
  </si>
  <si>
    <t>V(LATE)</t>
  </si>
  <si>
    <t>*For returning scheme</t>
  </si>
  <si>
    <t>Training (27/9/2023)</t>
  </si>
  <si>
    <t>Training (28/9/2023)</t>
  </si>
  <si>
    <t>Training (1/10/2023)</t>
  </si>
  <si>
    <t>Competition (2/10/2023)</t>
  </si>
  <si>
    <t>SELECTION</t>
  </si>
  <si>
    <t>Male</t>
  </si>
  <si>
    <t>Female</t>
  </si>
  <si>
    <t xml:space="preserve">Sum of returning point </t>
  </si>
  <si>
    <t>Practice (11/9/2023)</t>
  </si>
  <si>
    <t>Training (16/9/2023)</t>
  </si>
  <si>
    <t>Training (17/9/2023)</t>
  </si>
  <si>
    <t>Training (18/9/2023)</t>
  </si>
  <si>
    <t>Competition (21/9/2023)</t>
  </si>
  <si>
    <t>✔️</t>
  </si>
  <si>
    <t>Team Captain</t>
  </si>
  <si>
    <t>Backip</t>
  </si>
  <si>
    <t>Score system: Actual Player = 6; + attendance (3 max) ; +good performance (3 max) (Please remember to consider the workload among different games/competition)</t>
  </si>
  <si>
    <t>Award: Gold= 15, silver = 10 , Bronze = 5</t>
  </si>
  <si>
    <t>Performance rate: 5 = Excellent; 4 = above average ; 3 = average; 2 = below average; 1 = poor</t>
  </si>
  <si>
    <t>Hall Manager</t>
  </si>
  <si>
    <t>After the event</t>
  </si>
  <si>
    <t>Actual no. of participants</t>
  </si>
  <si>
    <t>Team Manger</t>
  </si>
  <si>
    <t>CCC</t>
  </si>
  <si>
    <t>RT</t>
  </si>
  <si>
    <t>CCC 1st training</t>
  </si>
  <si>
    <t>1 + 18</t>
  </si>
  <si>
    <t>XXX</t>
  </si>
  <si>
    <t xml:space="preserve">photography </t>
  </si>
  <si>
    <t>selected representing the hall: 6 points max</t>
  </si>
  <si>
    <t>random photo: 1 point</t>
  </si>
  <si>
    <t>Singing</t>
  </si>
  <si>
    <t xml:space="preserve">depend on preparation </t>
  </si>
  <si>
    <t>Hall Tee</t>
  </si>
  <si>
    <t>Name</t>
  </si>
  <si>
    <t>Size</t>
  </si>
  <si>
    <t>Rebecca</t>
  </si>
  <si>
    <t>M</t>
  </si>
  <si>
    <t>Vivian</t>
  </si>
  <si>
    <t>L</t>
  </si>
  <si>
    <t>Jolin</t>
  </si>
  <si>
    <t>Hall Ma</t>
  </si>
  <si>
    <t>XL</t>
  </si>
  <si>
    <t>Ormond</t>
  </si>
  <si>
    <t>William</t>
  </si>
  <si>
    <t>Nikill</t>
  </si>
  <si>
    <t>Shivi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</si>
</sst>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/m/yy"/>
    <numFmt numFmtId="166" formatCode="yyyy/mm/dd"/>
    <numFmt numFmtId="167" formatCode="h:mm am/pm"/>
  </numFmts>
  <fonts count="4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rgb="FF000000"/>
      <name val="Arial"/>
    </font>
    <font>
      <b/>
      <strike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Times New Roman"/>
    </font>
    <font>
      <b/>
      <color theme="1"/>
      <name val="Times New Roman"/>
    </font>
    <font>
      <sz val="9.0"/>
      <color theme="1"/>
      <name val="Arial"/>
    </font>
    <font>
      <color rgb="FF434343"/>
      <name val="Roboto"/>
    </font>
    <font>
      <b/>
      <sz val="11.0"/>
      <color theme="1"/>
      <name val="&quot;Times New Roman&quot;"/>
    </font>
    <font>
      <b/>
      <color theme="1"/>
      <name val="&quot;Times New Roman&quot;"/>
    </font>
    <font>
      <sz val="9.0"/>
      <color rgb="FF000000"/>
      <name val="Arial"/>
    </font>
    <font>
      <b/>
      <color rgb="FF434343"/>
      <name val="Roboto"/>
    </font>
    <font>
      <b/>
      <color theme="0"/>
      <name val="&quot;Times New Roman&quot;"/>
    </font>
    <font>
      <color theme="0"/>
      <name val="Arial"/>
      <scheme val="minor"/>
    </font>
    <font>
      <sz val="11.0"/>
      <color rgb="FF000000"/>
      <name val="Calibri"/>
    </font>
    <font>
      <color theme="1"/>
      <name val="Roboto"/>
    </font>
    <font>
      <b/>
      <color theme="1"/>
      <name val="Roboto"/>
    </font>
    <font>
      <color theme="1"/>
      <name val="&quot;Times New Roman&quot;"/>
    </font>
    <font>
      <sz val="11.0"/>
      <color theme="1"/>
      <name val="&quot;Times New Roman&quot;"/>
    </font>
    <font>
      <sz val="12.0"/>
      <color rgb="FF434343"/>
      <name val="Calibri"/>
    </font>
    <font>
      <sz val="12.0"/>
      <color theme="1"/>
      <name val="Docs-Calibri"/>
    </font>
    <font>
      <sz val="11.0"/>
      <color theme="1"/>
      <name val="Times New Roman"/>
    </font>
    <font>
      <sz val="11.0"/>
      <color rgb="FF000000"/>
      <name val="Times New Roman"/>
    </font>
    <font>
      <i/>
      <sz val="11.0"/>
      <color rgb="FF202122"/>
      <name val="&quot;Times New Roman&quot;"/>
    </font>
    <font>
      <i/>
      <sz val="11.0"/>
      <color rgb="FF202122"/>
      <name val="Times New Roman"/>
    </font>
    <font>
      <sz val="12.0"/>
      <color rgb="FF202124"/>
      <name val="Times New Roman"/>
    </font>
    <font>
      <sz val="12.0"/>
      <color rgb="FF000000"/>
      <name val="&quot;Segoe UI Symbol&quot;"/>
    </font>
    <font>
      <sz val="12.0"/>
      <color rgb="FF000000"/>
      <name val="Calibri"/>
    </font>
    <font>
      <sz val="12.0"/>
      <color rgb="FF000000"/>
      <name val="Times New Roman"/>
    </font>
    <font>
      <strike/>
      <color theme="1"/>
      <name val="Arial"/>
      <scheme val="minor"/>
    </font>
    <font>
      <strike/>
      <color theme="1"/>
      <name val="Arial"/>
    </font>
    <font>
      <strike/>
      <sz val="12.0"/>
      <color rgb="FF000000"/>
      <name val="Times New Roman"/>
    </font>
    <font>
      <strike/>
      <sz val="12.0"/>
      <color rgb="FF000000"/>
      <name val="Calibri"/>
    </font>
    <font>
      <strike/>
      <color rgb="FF000000"/>
      <name val="Arial"/>
    </font>
    <font>
      <sz val="12.0"/>
      <color theme="1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8F9FA"/>
        <bgColor rgb="FFF8F9FA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top style="thin">
        <color rgb="FFFFFFFF"/>
      </top>
      <bottom style="thin">
        <color rgb="FFFFFFFF"/>
      </bottom>
    </border>
    <border>
      <left style="thin">
        <color rgb="FFF4CCCC"/>
      </left>
      <right style="thin">
        <color rgb="FF442F65"/>
      </right>
      <top style="thin">
        <color rgb="FFF4CCCC"/>
      </top>
      <bottom style="thin">
        <color rgb="FFF4CCCC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3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1" fillId="3" fontId="2" numFmtId="0" xfId="0" applyAlignment="1" applyBorder="1" applyFill="1" applyFont="1">
      <alignment shrinkToFit="0" vertical="bottom" wrapText="0"/>
    </xf>
    <xf borderId="1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1" fillId="3" fontId="2" numFmtId="0" xfId="0" applyAlignment="1" applyBorder="1" applyFont="1">
      <alignment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ont="1">
      <alignment vertical="bottom"/>
    </xf>
    <xf borderId="0" fillId="4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1" fillId="5" fontId="2" numFmtId="0" xfId="0" applyAlignment="1" applyBorder="1" applyFill="1" applyFont="1">
      <alignment readingOrder="0" shrinkToFit="0" vertical="bottom" wrapText="0"/>
    </xf>
    <xf borderId="1" fillId="5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1" fillId="2" fontId="2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6" fontId="4" numFmtId="0" xfId="0" applyAlignment="1" applyFill="1" applyFont="1">
      <alignment horizontal="left" readingOrder="0"/>
    </xf>
    <xf borderId="0" fillId="0" fontId="2" numFmtId="0" xfId="0" applyAlignment="1" applyFont="1">
      <alignment shrinkToFit="0" vertical="bottom" wrapText="0"/>
    </xf>
    <xf borderId="0" fillId="4" fontId="3" numFmtId="0" xfId="0" applyAlignment="1" applyFont="1">
      <alignment readingOrder="0"/>
    </xf>
    <xf borderId="0" fillId="3" fontId="3" numFmtId="0" xfId="0" applyAlignment="1" applyFont="1">
      <alignment readingOrder="0"/>
    </xf>
    <xf borderId="1" fillId="3" fontId="3" numFmtId="0" xfId="0" applyAlignment="1" applyBorder="1" applyFont="1">
      <alignment readingOrder="0"/>
    </xf>
    <xf borderId="0" fillId="5" fontId="3" numFmtId="0" xfId="0" applyAlignment="1" applyFont="1">
      <alignment readingOrder="0"/>
    </xf>
    <xf borderId="0" fillId="5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5" fontId="6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7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5" fontId="6" numFmtId="164" xfId="0" applyAlignment="1" applyFont="1" applyNumberFormat="1">
      <alignment readingOrder="0"/>
    </xf>
    <xf borderId="0" fillId="5" fontId="6" numFmtId="0" xfId="0" applyFont="1"/>
    <xf borderId="0" fillId="0" fontId="6" numFmtId="164" xfId="0" applyFont="1" applyNumberFormat="1"/>
    <xf borderId="0" fillId="0" fontId="8" numFmtId="0" xfId="0" applyAlignment="1" applyFont="1">
      <alignment vertical="bottom"/>
    </xf>
    <xf borderId="0" fillId="4" fontId="8" numFmtId="0" xfId="0" applyAlignment="1" applyFont="1">
      <alignment vertical="bottom"/>
    </xf>
    <xf borderId="0" fillId="5" fontId="9" numFmtId="0" xfId="0" applyAlignment="1" applyFont="1">
      <alignment horizontal="center" readingOrder="0" vertical="bottom"/>
    </xf>
    <xf borderId="0" fillId="5" fontId="9" numFmtId="0" xfId="0" applyAlignment="1" applyFont="1">
      <alignment horizontal="center" vertical="bottom"/>
    </xf>
    <xf borderId="0" fillId="5" fontId="9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4" fontId="10" numFmtId="0" xfId="0" applyAlignment="1" applyFont="1">
      <alignment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horizontal="right" vertical="bottom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top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horizontal="right" vertical="bottom"/>
    </xf>
    <xf borderId="2" fillId="7" fontId="1" numFmtId="0" xfId="0" applyAlignment="1" applyBorder="1" applyFont="1">
      <alignment vertical="bottom"/>
    </xf>
    <xf borderId="0" fillId="7" fontId="1" numFmtId="0" xfId="0" applyAlignment="1" applyFont="1">
      <alignment horizontal="right" readingOrder="0" vertical="bottom"/>
    </xf>
    <xf borderId="0" fillId="2" fontId="1" numFmtId="0" xfId="0" applyAlignment="1" applyFont="1">
      <alignment vertical="bottom"/>
    </xf>
    <xf borderId="0" fillId="8" fontId="1" numFmtId="0" xfId="0" applyAlignment="1" applyFill="1" applyFont="1">
      <alignment horizontal="right" vertical="bottom"/>
    </xf>
    <xf borderId="0" fillId="8" fontId="1" numFmtId="0" xfId="0" applyAlignment="1" applyFont="1">
      <alignment horizontal="right" shrinkToFit="0" vertical="bottom" wrapText="0"/>
    </xf>
    <xf borderId="0" fillId="8" fontId="1" numFmtId="0" xfId="0" applyAlignment="1" applyFont="1">
      <alignment vertical="bottom"/>
    </xf>
    <xf borderId="0" fillId="6" fontId="1" numFmtId="0" xfId="0" applyAlignment="1" applyFont="1">
      <alignment vertical="bottom"/>
    </xf>
    <xf borderId="0" fillId="6" fontId="11" numFmtId="0" xfId="0" applyAlignment="1" applyFont="1">
      <alignment vertical="bottom"/>
    </xf>
    <xf borderId="0" fillId="6" fontId="8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6" fontId="10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9" fontId="6" numFmtId="0" xfId="0" applyAlignment="1" applyFill="1" applyFont="1">
      <alignment readingOrder="0"/>
    </xf>
    <xf borderId="0" fillId="9" fontId="6" numFmtId="0" xfId="0" applyFont="1"/>
    <xf borderId="0" fillId="3" fontId="2" numFmtId="0" xfId="0" applyAlignment="1" applyFont="1">
      <alignment readingOrder="0" vertical="bottom"/>
    </xf>
    <xf borderId="0" fillId="3" fontId="9" numFmtId="0" xfId="0" applyAlignment="1" applyFont="1">
      <alignment vertical="bottom"/>
    </xf>
    <xf borderId="1" fillId="3" fontId="2" numFmtId="0" xfId="0" applyAlignment="1" applyBorder="1" applyFont="1">
      <alignment vertical="bottom"/>
    </xf>
    <xf borderId="0" fillId="6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3" fontId="1" numFmtId="0" xfId="0" applyAlignment="1" applyFont="1">
      <alignment readingOrder="0" vertical="bottom"/>
    </xf>
    <xf borderId="0" fillId="0" fontId="6" numFmtId="0" xfId="0" applyFont="1"/>
    <xf borderId="1" fillId="5" fontId="9" numFmtId="0" xfId="0" applyAlignment="1" applyBorder="1" applyFont="1">
      <alignment horizontal="center" vertical="bottom"/>
    </xf>
    <xf borderId="1" fillId="5" fontId="9" numFmtId="0" xfId="0" applyAlignment="1" applyBorder="1" applyFont="1">
      <alignment vertical="bottom"/>
    </xf>
    <xf quotePrefix="1" borderId="1" fillId="5" fontId="10" numFmtId="0" xfId="0" applyAlignment="1" applyBorder="1" applyFont="1">
      <alignment vertical="bottom"/>
    </xf>
    <xf borderId="1" fillId="4" fontId="10" numFmtId="0" xfId="0" applyAlignment="1" applyBorder="1" applyFont="1">
      <alignment vertical="bottom"/>
    </xf>
    <xf borderId="3" fillId="4" fontId="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10" fontId="12" numFmtId="0" xfId="0" applyAlignment="1" applyBorder="1" applyFill="1" applyFont="1">
      <alignment shrinkToFit="0" vertical="bottom" wrapText="0"/>
    </xf>
    <xf borderId="1" fillId="10" fontId="12" numFmtId="0" xfId="0" applyAlignment="1" applyBorder="1" applyFont="1">
      <alignment horizontal="right" shrinkToFit="0" vertical="bottom" wrapText="0"/>
    </xf>
    <xf borderId="1" fillId="10" fontId="1" numFmtId="0" xfId="0" applyAlignment="1" applyBorder="1" applyFont="1">
      <alignment vertical="bottom"/>
    </xf>
    <xf borderId="3" fillId="2" fontId="1" numFmtId="0" xfId="0" applyAlignment="1" applyBorder="1" applyFont="1">
      <alignment horizontal="right" vertical="bottom"/>
    </xf>
    <xf borderId="1" fillId="6" fontId="12" numFmtId="0" xfId="0" applyAlignment="1" applyBorder="1" applyFont="1">
      <alignment shrinkToFit="0" vertical="bottom" wrapText="0"/>
    </xf>
    <xf borderId="1" fillId="6" fontId="12" numFmtId="0" xfId="0" applyAlignment="1" applyBorder="1" applyFont="1">
      <alignment horizontal="right" shrinkToFit="0" vertical="bottom" wrapText="0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vertical="bottom"/>
    </xf>
    <xf borderId="1" fillId="10" fontId="12" numFmtId="0" xfId="0" applyAlignment="1" applyBorder="1" applyFont="1">
      <alignment horizontal="right" readingOrder="0" shrinkToFit="0" vertical="bottom" wrapText="0"/>
    </xf>
    <xf borderId="0" fillId="6" fontId="13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6" fontId="14" numFmtId="0" xfId="0" applyAlignment="1" applyFont="1">
      <alignment readingOrder="0" vertical="bottom"/>
    </xf>
    <xf borderId="0" fillId="7" fontId="14" numFmtId="0" xfId="0" applyAlignment="1" applyFont="1">
      <alignment readingOrder="0" vertical="bottom"/>
    </xf>
    <xf borderId="0" fillId="6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4" fillId="7" fontId="12" numFmtId="0" xfId="0" applyAlignment="1" applyBorder="1" applyFont="1">
      <alignment shrinkToFit="0" wrapText="0"/>
    </xf>
    <xf borderId="0" fillId="7" fontId="6" numFmtId="0" xfId="0" applyAlignment="1" applyFont="1">
      <alignment shrinkToFit="0" wrapText="0"/>
    </xf>
    <xf borderId="0" fillId="0" fontId="14" numFmtId="0" xfId="0" applyAlignment="1" applyFont="1">
      <alignment readingOrder="0" vertical="bottom"/>
    </xf>
    <xf borderId="0" fillId="5" fontId="10" numFmtId="0" xfId="0" applyAlignment="1" applyFont="1">
      <alignment readingOrder="0" vertical="bottom"/>
    </xf>
    <xf borderId="0" fillId="6" fontId="14" numFmtId="0" xfId="0" applyAlignment="1" applyFont="1">
      <alignment readingOrder="0" vertical="bottom"/>
    </xf>
    <xf borderId="0" fillId="6" fontId="15" numFmtId="0" xfId="0" applyAlignment="1" applyFont="1">
      <alignment horizontal="left" readingOrder="0"/>
    </xf>
    <xf borderId="5" fillId="6" fontId="12" numFmtId="0" xfId="0" applyAlignment="1" applyBorder="1" applyFont="1">
      <alignment horizontal="right" shrinkToFit="0" wrapText="0"/>
    </xf>
    <xf borderId="0" fillId="11" fontId="14" numFmtId="0" xfId="0" applyAlignment="1" applyFill="1" applyFont="1">
      <alignment readingOrder="0" vertical="bottom"/>
    </xf>
    <xf borderId="0" fillId="9" fontId="14" numFmtId="0" xfId="0" applyAlignment="1" applyFont="1">
      <alignment readingOrder="0" vertical="bottom"/>
    </xf>
    <xf borderId="6" fillId="10" fontId="12" numFmtId="0" xfId="0" applyAlignment="1" applyBorder="1" applyFont="1">
      <alignment horizontal="right" shrinkToFit="0" wrapText="0"/>
    </xf>
    <xf borderId="0" fillId="6" fontId="14" numFmtId="0" xfId="0" applyAlignment="1" applyFont="1">
      <alignment readingOrder="0" vertical="bottom"/>
    </xf>
    <xf borderId="0" fillId="4" fontId="6" numFmtId="0" xfId="0" applyFont="1"/>
    <xf borderId="0" fillId="7" fontId="6" numFmtId="0" xfId="0" applyAlignment="1" applyFont="1">
      <alignment readingOrder="0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readingOrder="0" shrinkToFit="0" wrapText="0"/>
    </xf>
    <xf borderId="0" fillId="6" fontId="12" numFmtId="0" xfId="0" applyAlignment="1" applyFont="1">
      <alignment shrinkToFit="0" wrapText="0"/>
    </xf>
    <xf borderId="0" fillId="6" fontId="12" numFmtId="0" xfId="0" applyAlignment="1" applyFont="1">
      <alignment horizontal="right" shrinkToFit="0" wrapText="0"/>
    </xf>
    <xf borderId="7" fillId="6" fontId="12" numFmtId="0" xfId="0" applyAlignment="1" applyBorder="1" applyFont="1">
      <alignment shrinkToFit="0" wrapText="0"/>
    </xf>
    <xf borderId="0" fillId="0" fontId="12" numFmtId="0" xfId="0" applyAlignment="1" applyFont="1">
      <alignment shrinkToFit="0" wrapText="0"/>
    </xf>
    <xf borderId="0" fillId="0" fontId="1" numFmtId="0" xfId="0" applyFont="1"/>
    <xf borderId="5" fillId="6" fontId="1" numFmtId="0" xfId="0" applyBorder="1" applyFont="1"/>
    <xf borderId="0" fillId="6" fontId="1" numFmtId="0" xfId="0" applyFont="1"/>
    <xf borderId="8" fillId="0" fontId="12" numFmtId="0" xfId="0" applyAlignment="1" applyBorder="1" applyFont="1">
      <alignment shrinkToFit="0" wrapText="0"/>
    </xf>
    <xf borderId="0" fillId="0" fontId="6" numFmtId="0" xfId="0" applyFont="1"/>
    <xf borderId="9" fillId="10" fontId="12" numFmtId="0" xfId="0" applyAlignment="1" applyBorder="1" applyFont="1">
      <alignment shrinkToFit="0" wrapText="0"/>
    </xf>
    <xf borderId="10" fillId="10" fontId="12" numFmtId="0" xfId="0" applyAlignment="1" applyBorder="1" applyFont="1">
      <alignment horizontal="right" shrinkToFit="0" wrapText="0"/>
    </xf>
    <xf borderId="10" fillId="10" fontId="1" numFmtId="0" xfId="0" applyBorder="1" applyFont="1"/>
    <xf borderId="11" fillId="0" fontId="1" numFmtId="0" xfId="0" applyAlignment="1" applyBorder="1" applyFont="1">
      <alignment readingOrder="0"/>
    </xf>
    <xf borderId="12" fillId="0" fontId="1" numFmtId="0" xfId="0" applyBorder="1" applyFont="1"/>
    <xf borderId="12" fillId="0" fontId="1" numFmtId="0" xfId="0" applyAlignment="1" applyBorder="1" applyFont="1">
      <alignment readingOrder="0"/>
    </xf>
    <xf borderId="0" fillId="12" fontId="6" numFmtId="0" xfId="0" applyFill="1" applyFont="1"/>
    <xf borderId="10" fillId="10" fontId="12" numFmtId="0" xfId="0" applyAlignment="1" applyBorder="1" applyFont="1">
      <alignment shrinkToFit="0" wrapText="0"/>
    </xf>
    <xf borderId="11" fillId="0" fontId="12" numFmtId="0" xfId="0" applyAlignment="1" applyBorder="1" applyFont="1">
      <alignment shrinkToFit="0" wrapText="0"/>
    </xf>
    <xf borderId="13" fillId="6" fontId="12" numFmtId="0" xfId="0" applyAlignment="1" applyBorder="1" applyFont="1">
      <alignment shrinkToFit="0" wrapText="0"/>
    </xf>
    <xf borderId="5" fillId="6" fontId="12" numFmtId="0" xfId="0" applyAlignment="1" applyBorder="1" applyFont="1">
      <alignment shrinkToFit="0" wrapText="0"/>
    </xf>
    <xf borderId="11" fillId="0" fontId="1" numFmtId="0" xfId="0" applyBorder="1" applyFont="1"/>
    <xf borderId="5" fillId="6" fontId="12" numFmtId="0" xfId="0" applyAlignment="1" applyBorder="1" applyFont="1">
      <alignment shrinkToFit="0" wrapText="0"/>
    </xf>
    <xf borderId="5" fillId="6" fontId="12" numFmtId="0" xfId="0" applyAlignment="1" applyBorder="1" applyFont="1">
      <alignment horizontal="right" shrinkToFit="0" wrapText="0"/>
    </xf>
    <xf borderId="5" fillId="6" fontId="1" numFmtId="0" xfId="0" applyBorder="1" applyFont="1"/>
    <xf borderId="14" fillId="6" fontId="12" numFmtId="0" xfId="0" applyAlignment="1" applyBorder="1" applyFont="1">
      <alignment shrinkToFit="0" wrapText="0"/>
    </xf>
    <xf borderId="0" fillId="12" fontId="6" numFmtId="0" xfId="0" applyAlignment="1" applyFont="1">
      <alignment readingOrder="0"/>
    </xf>
    <xf borderId="10" fillId="10" fontId="12" numFmtId="0" xfId="0" applyAlignment="1" applyBorder="1" applyFont="1">
      <alignment shrinkToFit="0" wrapText="0"/>
    </xf>
    <xf borderId="10" fillId="10" fontId="12" numFmtId="0" xfId="0" applyAlignment="1" applyBorder="1" applyFont="1">
      <alignment horizontal="right" shrinkToFit="0" wrapText="0"/>
    </xf>
    <xf borderId="10" fillId="10" fontId="1" numFmtId="0" xfId="0" applyBorder="1" applyFont="1"/>
    <xf borderId="15" fillId="10" fontId="12" numFmtId="0" xfId="0" applyAlignment="1" applyBorder="1" applyFont="1">
      <alignment shrinkToFit="0" wrapText="0"/>
    </xf>
    <xf borderId="16" fillId="6" fontId="12" numFmtId="0" xfId="0" applyAlignment="1" applyBorder="1" applyFont="1">
      <alignment shrinkToFit="0" wrapText="0"/>
    </xf>
    <xf borderId="16" fillId="6" fontId="12" numFmtId="0" xfId="0" applyAlignment="1" applyBorder="1" applyFont="1">
      <alignment horizontal="right" shrinkToFit="0" wrapText="0"/>
    </xf>
    <xf borderId="17" fillId="6" fontId="12" numFmtId="0" xfId="0" applyAlignment="1" applyBorder="1" applyFont="1">
      <alignment shrinkToFit="0" wrapText="0"/>
    </xf>
    <xf borderId="0" fillId="4" fontId="3" numFmtId="0" xfId="0" applyAlignment="1" applyFont="1">
      <alignment readingOrder="0" shrinkToFit="0" wrapText="1"/>
    </xf>
    <xf borderId="10" fillId="6" fontId="12" numFmtId="0" xfId="0" applyAlignment="1" applyBorder="1" applyFont="1">
      <alignment horizontal="right" shrinkToFit="0" wrapText="0"/>
    </xf>
    <xf borderId="0" fillId="6" fontId="6" numFmtId="0" xfId="0" applyFont="1"/>
    <xf borderId="0" fillId="10" fontId="6" numFmtId="0" xfId="0" applyFont="1"/>
    <xf borderId="0" fillId="10" fontId="6" numFmtId="0" xfId="0" applyAlignment="1" applyFont="1">
      <alignment readingOrder="0"/>
    </xf>
    <xf borderId="0" fillId="6" fontId="1" numFmtId="0" xfId="0" applyAlignment="1" applyFont="1">
      <alignment horizontal="right" vertical="bottom"/>
    </xf>
    <xf borderId="0" fillId="6" fontId="1" numFmtId="0" xfId="0" applyAlignment="1" applyFont="1">
      <alignment horizontal="right" readingOrder="0" vertical="bottom"/>
    </xf>
    <xf borderId="0" fillId="10" fontId="1" numFmtId="0" xfId="0" applyAlignment="1" applyFont="1">
      <alignment horizontal="right" vertical="bottom"/>
    </xf>
    <xf borderId="0" fillId="10" fontId="1" numFmtId="0" xfId="0" applyAlignment="1" applyFont="1">
      <alignment vertical="bottom"/>
    </xf>
    <xf borderId="0" fillId="13" fontId="6" numFmtId="0" xfId="0" applyFill="1" applyFont="1"/>
    <xf borderId="0" fillId="13" fontId="6" numFmtId="0" xfId="0" applyAlignment="1" applyFont="1">
      <alignment readingOrder="0"/>
    </xf>
    <xf borderId="0" fillId="10" fontId="6" numFmtId="0" xfId="0" applyAlignment="1" applyFont="1">
      <alignment readingOrder="0"/>
    </xf>
    <xf borderId="0" fillId="6" fontId="6" numFmtId="0" xfId="0" applyAlignment="1" applyFont="1">
      <alignment readingOrder="0"/>
    </xf>
    <xf borderId="0" fillId="6" fontId="6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readingOrder="0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right" vertical="bottom"/>
    </xf>
    <xf borderId="10" fillId="10" fontId="12" numFmtId="0" xfId="0" applyAlignment="1" applyBorder="1" applyFont="1">
      <alignment horizontal="right" shrinkToFit="0" wrapText="0"/>
    </xf>
    <xf borderId="10" fillId="10" fontId="12" numFmtId="0" xfId="0" applyAlignment="1" applyBorder="1" applyFont="1">
      <alignment shrinkToFit="0" wrapText="0"/>
    </xf>
    <xf borderId="0" fillId="10" fontId="16" numFmtId="0" xfId="0" applyAlignment="1" applyFont="1">
      <alignment readingOrder="0" shrinkToFit="0" vertical="bottom" wrapText="0"/>
    </xf>
    <xf borderId="0" fillId="7" fontId="6" numFmtId="0" xfId="0" applyFont="1"/>
    <xf borderId="0" fillId="6" fontId="17" numFmtId="0" xfId="0" applyAlignment="1" applyFont="1">
      <alignment readingOrder="0" vertical="bottom"/>
    </xf>
    <xf borderId="0" fillId="6" fontId="17" numFmtId="0" xfId="0" applyAlignment="1" applyFont="1">
      <alignment readingOrder="0" vertical="bottom"/>
    </xf>
    <xf borderId="0" fillId="0" fontId="18" numFmtId="0" xfId="0" applyFont="1"/>
    <xf borderId="0" fillId="10" fontId="12" numFmtId="0" xfId="0" applyAlignment="1" applyFont="1">
      <alignment readingOrder="0" shrinkToFit="0" wrapText="0"/>
    </xf>
    <xf borderId="0" fillId="10" fontId="12" numFmtId="0" xfId="0" applyAlignment="1" applyFont="1">
      <alignment readingOrder="0" shrinkToFit="0" wrapText="0"/>
    </xf>
    <xf borderId="10" fillId="6" fontId="12" numFmtId="0" xfId="0" applyAlignment="1" applyBorder="1" applyFont="1">
      <alignment shrinkToFit="0" wrapText="0"/>
    </xf>
    <xf borderId="10" fillId="6" fontId="12" numFmtId="0" xfId="0" applyAlignment="1" applyBorder="1" applyFont="1">
      <alignment horizontal="right" shrinkToFit="0" wrapText="0"/>
    </xf>
    <xf borderId="0" fillId="6" fontId="12" numFmtId="0" xfId="0" applyAlignment="1" applyFont="1">
      <alignment readingOrder="0" shrinkToFit="0" wrapText="0"/>
    </xf>
    <xf borderId="0" fillId="6" fontId="12" numFmtId="0" xfId="0" applyAlignment="1" applyFont="1">
      <alignment readingOrder="0" shrinkToFit="0" wrapText="0"/>
    </xf>
    <xf borderId="10" fillId="0" fontId="6" numFmtId="0" xfId="0" applyAlignment="1" applyBorder="1" applyFont="1">
      <alignment readingOrder="0"/>
    </xf>
    <xf borderId="0" fillId="10" fontId="12" numFmtId="0" xfId="0" applyAlignment="1" applyFont="1">
      <alignment shrinkToFit="0" wrapText="0"/>
    </xf>
    <xf borderId="0" fillId="10" fontId="12" numFmtId="0" xfId="0" applyAlignment="1" applyFont="1">
      <alignment horizontal="right" shrinkToFit="0" wrapText="0"/>
    </xf>
    <xf borderId="5" fillId="6" fontId="12" numFmtId="0" xfId="0" applyAlignment="1" applyBorder="1" applyFont="1">
      <alignment shrinkToFit="0" vertical="bottom" wrapText="0"/>
    </xf>
    <xf borderId="0" fillId="6" fontId="12" numFmtId="0" xfId="0" applyAlignment="1" applyFont="1">
      <alignment readingOrder="0" shrinkToFit="0" wrapText="0"/>
    </xf>
    <xf borderId="10" fillId="6" fontId="12" numFmtId="0" xfId="0" applyAlignment="1" applyBorder="1" applyFont="1">
      <alignment shrinkToFit="0" wrapText="0"/>
    </xf>
    <xf borderId="5" fillId="10" fontId="12" numFmtId="0" xfId="0" applyAlignment="1" applyBorder="1" applyFont="1">
      <alignment shrinkToFit="0" wrapText="0"/>
    </xf>
    <xf borderId="5" fillId="10" fontId="12" numFmtId="0" xfId="0" applyAlignment="1" applyBorder="1" applyFont="1">
      <alignment horizontal="right" shrinkToFit="0" wrapText="0"/>
    </xf>
    <xf borderId="0" fillId="10" fontId="12" numFmtId="0" xfId="0" applyAlignment="1" applyFont="1">
      <alignment readingOrder="0" shrinkToFit="0" wrapText="0"/>
    </xf>
    <xf borderId="0" fillId="6" fontId="12" numFmtId="0" xfId="0" applyAlignment="1" applyFont="1">
      <alignment shrinkToFit="0" wrapText="0"/>
    </xf>
    <xf borderId="0" fillId="6" fontId="12" numFmtId="0" xfId="0" applyAlignment="1" applyFont="1">
      <alignment horizontal="right" shrinkToFit="0" wrapText="0"/>
    </xf>
    <xf borderId="0" fillId="5" fontId="2" numFmtId="0" xfId="0" applyAlignment="1" applyFont="1">
      <alignment horizontal="center"/>
    </xf>
    <xf borderId="0" fillId="5" fontId="2" numFmtId="165" xfId="0" applyAlignment="1" applyFont="1" applyNumberFormat="1">
      <alignment horizontal="center"/>
    </xf>
    <xf borderId="0" fillId="0" fontId="1" numFmtId="0" xfId="0" applyAlignment="1" applyFont="1">
      <alignment vertical="bottom"/>
    </xf>
    <xf borderId="0" fillId="10" fontId="2" numFmtId="0" xfId="0" applyAlignment="1" applyFont="1">
      <alignment vertical="bottom"/>
    </xf>
    <xf borderId="0" fillId="6" fontId="1" numFmtId="0" xfId="0" applyAlignment="1" applyFont="1">
      <alignment horizontal="left" readingOrder="0" vertical="bottom"/>
    </xf>
    <xf borderId="0" fillId="6" fontId="1" numFmtId="0" xfId="0" applyAlignment="1" applyFont="1">
      <alignment horizontal="left" readingOrder="0" vertical="bottom"/>
    </xf>
    <xf borderId="0" fillId="10" fontId="1" numFmtId="0" xfId="0" applyAlignment="1" applyFont="1">
      <alignment horizontal="right" readingOrder="0" vertical="bottom"/>
    </xf>
    <xf borderId="0" fillId="10" fontId="1" numFmtId="0" xfId="0" applyAlignment="1" applyFont="1">
      <alignment horizontal="left" readingOrder="0" vertical="bottom"/>
    </xf>
    <xf borderId="0" fillId="10" fontId="1" numFmtId="0" xfId="0" applyAlignment="1" applyFont="1">
      <alignment horizontal="left" readingOrder="0" vertical="bottom"/>
    </xf>
    <xf borderId="0" fillId="7" fontId="1" numFmtId="0" xfId="0" applyAlignment="1" applyFont="1">
      <alignment readingOrder="0" vertical="bottom"/>
    </xf>
    <xf borderId="0" fillId="0" fontId="19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5" fontId="9" numFmtId="0" xfId="0" applyAlignment="1" applyFont="1">
      <alignment readingOrder="0" vertical="bottom"/>
    </xf>
    <xf borderId="1" fillId="0" fontId="2" numFmtId="0" xfId="0" applyAlignment="1" applyBorder="1" applyFont="1">
      <alignment horizontal="center" vertical="bottom"/>
    </xf>
    <xf borderId="1" fillId="0" fontId="6" numFmtId="0" xfId="0" applyBorder="1" applyFont="1"/>
    <xf borderId="1" fillId="0" fontId="2" numFmtId="0" xfId="0" applyAlignment="1" applyBorder="1" applyFont="1">
      <alignment horizontal="center" readingOrder="0" vertical="bottom"/>
    </xf>
    <xf borderId="1" fillId="10" fontId="1" numFmtId="0" xfId="0" applyAlignment="1" applyBorder="1" applyFont="1">
      <alignment horizontal="right" vertical="bottom"/>
    </xf>
    <xf borderId="1" fillId="10" fontId="1" numFmtId="0" xfId="0" applyAlignment="1" applyBorder="1" applyFont="1">
      <alignment readingOrder="0" vertical="bottom"/>
    </xf>
    <xf borderId="1" fillId="0" fontId="6" numFmtId="0" xfId="0" applyBorder="1" applyFont="1"/>
    <xf borderId="1" fillId="0" fontId="2" numFmtId="0" xfId="0" applyAlignment="1" applyBorder="1" applyFont="1">
      <alignment horizontal="center" vertical="bottom"/>
    </xf>
    <xf borderId="0" fillId="7" fontId="6" numFmtId="0" xfId="0" applyAlignment="1" applyFont="1">
      <alignment readingOrder="0"/>
    </xf>
    <xf borderId="1" fillId="6" fontId="20" numFmtId="0" xfId="0" applyAlignment="1" applyBorder="1" applyFont="1">
      <alignment horizontal="right" shrinkToFit="0" vertical="bottom" wrapText="0"/>
    </xf>
    <xf borderId="1" fillId="6" fontId="20" numFmtId="0" xfId="0" applyAlignment="1" applyBorder="1" applyFont="1">
      <alignment shrinkToFit="0" vertical="bottom" wrapText="0"/>
    </xf>
    <xf borderId="1" fillId="6" fontId="21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vertical="bottom"/>
    </xf>
    <xf borderId="1" fillId="6" fontId="20" numFmtId="0" xfId="0" applyAlignment="1" applyBorder="1" applyFont="1">
      <alignment horizontal="right" shrinkToFit="0" vertical="bottom" wrapText="0"/>
    </xf>
    <xf borderId="1" fillId="6" fontId="20" numFmtId="0" xfId="0" applyAlignment="1" applyBorder="1" applyFont="1">
      <alignment shrinkToFit="0" vertical="bottom" wrapText="0"/>
    </xf>
    <xf borderId="1" fillId="6" fontId="1" numFmtId="0" xfId="0" applyAlignment="1" applyBorder="1" applyFont="1">
      <alignment vertical="bottom"/>
    </xf>
    <xf borderId="1" fillId="10" fontId="20" numFmtId="0" xfId="0" applyAlignment="1" applyBorder="1" applyFont="1">
      <alignment horizontal="right" shrinkToFit="0" vertical="bottom" wrapText="0"/>
    </xf>
    <xf borderId="1" fillId="10" fontId="20" numFmtId="0" xfId="0" applyAlignment="1" applyBorder="1" applyFont="1">
      <alignment shrinkToFit="0" vertical="bottom" wrapText="0"/>
    </xf>
    <xf borderId="1" fillId="10" fontId="21" numFmtId="0" xfId="0" applyAlignment="1" applyBorder="1" applyFont="1">
      <alignment horizontal="center" shrinkToFit="0" vertical="bottom" wrapText="0"/>
    </xf>
    <xf borderId="1" fillId="6" fontId="20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6" fontId="21" numFmtId="0" xfId="0" applyAlignment="1" applyFont="1">
      <alignment horizontal="center" shrinkToFit="0" vertical="bottom" wrapText="0"/>
    </xf>
    <xf borderId="1" fillId="10" fontId="20" numFmtId="0" xfId="0" applyAlignment="1" applyBorder="1" applyFont="1">
      <alignment horizontal="right" shrinkToFit="0" vertical="bottom" wrapText="0"/>
    </xf>
    <xf borderId="1" fillId="10" fontId="1" numFmtId="0" xfId="0" applyAlignment="1" applyBorder="1" applyFont="1">
      <alignment vertical="bottom"/>
    </xf>
    <xf borderId="18" fillId="6" fontId="9" numFmtId="0" xfId="0" applyAlignment="1" applyBorder="1" applyFont="1">
      <alignment vertical="bottom"/>
    </xf>
    <xf borderId="0" fillId="6" fontId="2" numFmtId="0" xfId="0" applyAlignment="1" applyFont="1">
      <alignment horizontal="center" vertical="bottom"/>
    </xf>
    <xf borderId="18" fillId="6" fontId="10" numFmtId="0" xfId="0" applyAlignment="1" applyBorder="1" applyFont="1">
      <alignment readingOrder="0" vertical="bottom"/>
    </xf>
    <xf borderId="18" fillId="6" fontId="10" numFmtId="0" xfId="0" applyAlignment="1" applyBorder="1" applyFont="1">
      <alignment vertical="bottom"/>
    </xf>
    <xf borderId="19" fillId="2" fontId="6" numFmtId="0" xfId="0" applyAlignment="1" applyBorder="1" applyFont="1">
      <alignment readingOrder="0"/>
    </xf>
    <xf borderId="1" fillId="6" fontId="1" numFmtId="0" xfId="0" applyAlignment="1" applyBorder="1" applyFont="1">
      <alignment readingOrder="0" vertical="bottom"/>
    </xf>
    <xf borderId="0" fillId="0" fontId="2" numFmtId="0" xfId="0" applyAlignment="1" applyFont="1">
      <alignment horizontal="center" vertical="bottom"/>
    </xf>
    <xf borderId="0" fillId="7" fontId="10" numFmtId="0" xfId="0" applyAlignment="1" applyFont="1">
      <alignment vertical="bottom"/>
    </xf>
    <xf borderId="19" fillId="2" fontId="6" numFmtId="0" xfId="0" applyBorder="1" applyFont="1"/>
    <xf borderId="1" fillId="10" fontId="1" numFmtId="0" xfId="0" applyAlignment="1" applyBorder="1" applyFont="1">
      <alignment horizontal="right" vertical="bottom"/>
    </xf>
    <xf borderId="1" fillId="6" fontId="1" numFmtId="0" xfId="0" applyAlignment="1" applyBorder="1" applyFont="1">
      <alignment horizontal="right" vertical="bottom"/>
    </xf>
    <xf borderId="10" fillId="6" fontId="6" numFmtId="0" xfId="0" applyBorder="1" applyFont="1"/>
    <xf borderId="5" fillId="10" fontId="12" numFmtId="0" xfId="0" applyAlignment="1" applyBorder="1" applyFont="1">
      <alignment shrinkToFit="0" vertical="bottom" wrapText="0"/>
    </xf>
    <xf borderId="10" fillId="6" fontId="12" numFmtId="0" xfId="0" applyAlignment="1" applyBorder="1" applyFont="1">
      <alignment shrinkToFit="0" vertical="bottom" wrapText="0"/>
    </xf>
    <xf borderId="10" fillId="10" fontId="12" numFmtId="0" xfId="0" applyAlignment="1" applyBorder="1" applyFont="1">
      <alignment shrinkToFit="0" vertical="bottom" wrapText="0"/>
    </xf>
    <xf borderId="5" fillId="6" fontId="12" numFmtId="0" xfId="0" applyAlignment="1" applyBorder="1" applyFont="1">
      <alignment shrinkToFit="0" vertical="bottom" wrapText="0"/>
    </xf>
    <xf borderId="0" fillId="6" fontId="13" numFmtId="0" xfId="0" applyAlignment="1" applyFont="1">
      <alignment horizontal="center" readingOrder="0" vertical="bottom"/>
    </xf>
    <xf borderId="1" fillId="14" fontId="1" numFmtId="0" xfId="0" applyAlignment="1" applyBorder="1" applyFill="1" applyFont="1">
      <alignment vertical="bottom"/>
    </xf>
    <xf borderId="1" fillId="14" fontId="20" numFmtId="0" xfId="0" applyAlignment="1" applyBorder="1" applyFont="1">
      <alignment horizontal="right" shrinkToFit="0" vertical="bottom" wrapText="0"/>
    </xf>
    <xf borderId="0" fillId="0" fontId="13" numFmtId="0" xfId="0" applyAlignment="1" applyFont="1">
      <alignment readingOrder="0" vertical="bottom"/>
    </xf>
    <xf borderId="0" fillId="6" fontId="22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4" fontId="14" numFmtId="0" xfId="0" applyAlignment="1" applyFont="1">
      <alignment readingOrder="0" vertical="bottom"/>
    </xf>
    <xf borderId="0" fillId="4" fontId="23" numFmtId="0" xfId="0" applyAlignment="1" applyFont="1">
      <alignment horizontal="center" readingOrder="0" vertical="bottom"/>
    </xf>
    <xf borderId="0" fillId="10" fontId="24" numFmtId="0" xfId="0" applyAlignment="1" applyFont="1">
      <alignment readingOrder="0" shrinkToFit="0" vertical="bottom" wrapText="0"/>
    </xf>
    <xf borderId="0" fillId="6" fontId="25" numFmtId="0" xfId="0" applyAlignment="1" applyFont="1">
      <alignment vertical="bottom"/>
    </xf>
    <xf borderId="0" fillId="15" fontId="6" numFmtId="0" xfId="0" applyFill="1" applyFont="1"/>
    <xf borderId="0" fillId="0" fontId="1" numFmtId="0" xfId="0" applyAlignment="1" applyFont="1">
      <alignment horizontal="right" vertical="bottom"/>
    </xf>
    <xf borderId="0" fillId="10" fontId="24" numFmtId="0" xfId="0" applyAlignment="1" applyFont="1">
      <alignment readingOrder="0" shrinkToFit="0" vertical="bottom" wrapText="0"/>
    </xf>
    <xf borderId="0" fillId="15" fontId="6" numFmtId="0" xfId="0" applyAlignment="1" applyFont="1">
      <alignment readingOrder="0"/>
    </xf>
    <xf borderId="0" fillId="0" fontId="23" numFmtId="0" xfId="0" applyAlignment="1" applyFont="1">
      <alignment vertical="bottom"/>
    </xf>
    <xf borderId="0" fillId="6" fontId="23" numFmtId="0" xfId="0" applyAlignment="1" applyFont="1">
      <alignment readingOrder="0" vertical="bottom"/>
    </xf>
    <xf borderId="0" fillId="6" fontId="1" numFmtId="0" xfId="0" applyAlignment="1" applyFont="1">
      <alignment vertical="bottom"/>
    </xf>
    <xf borderId="10" fillId="6" fontId="12" numFmtId="0" xfId="0" applyAlignment="1" applyBorder="1" applyFont="1">
      <alignment shrinkToFit="0" vertical="bottom" wrapText="0"/>
    </xf>
    <xf borderId="10" fillId="6" fontId="12" numFmtId="0" xfId="0" applyAlignment="1" applyBorder="1" applyFont="1">
      <alignment horizontal="right" shrinkToFit="0" vertical="bottom" wrapText="0"/>
    </xf>
    <xf borderId="0" fillId="6" fontId="8" numFmtId="0" xfId="0" applyAlignment="1" applyFont="1">
      <alignment readingOrder="0" vertical="bottom"/>
    </xf>
    <xf borderId="0" fillId="6" fontId="12" numFmtId="0" xfId="0" applyAlignment="1" applyFont="1">
      <alignment shrinkToFit="0" vertical="bottom" wrapText="0"/>
    </xf>
    <xf borderId="0" fillId="6" fontId="12" numFmtId="0" xfId="0" applyAlignment="1" applyFont="1">
      <alignment horizontal="right" shrinkToFit="0" vertical="bottom" wrapText="0"/>
    </xf>
    <xf borderId="0" fillId="6" fontId="12" numFmtId="0" xfId="0" applyAlignment="1" applyFont="1">
      <alignment shrinkToFit="0" vertical="bottom" wrapText="0"/>
    </xf>
    <xf borderId="0" fillId="6" fontId="1" numFmtId="0" xfId="0" applyAlignment="1" applyFont="1">
      <alignment readingOrder="0" vertical="bottom"/>
    </xf>
    <xf borderId="5" fillId="6" fontId="12" numFmtId="0" xfId="0" applyAlignment="1" applyBorder="1" applyFont="1">
      <alignment shrinkToFit="0" vertical="bottom" wrapText="0"/>
    </xf>
    <xf borderId="5" fillId="6" fontId="12" numFmtId="0" xfId="0" applyAlignment="1" applyBorder="1" applyFont="1">
      <alignment horizontal="right" shrinkToFit="0" vertical="bottom" wrapText="0"/>
    </xf>
    <xf borderId="10" fillId="10" fontId="12" numFmtId="0" xfId="0" applyAlignment="1" applyBorder="1" applyFont="1">
      <alignment shrinkToFit="0" vertical="bottom" wrapText="0"/>
    </xf>
    <xf borderId="10" fillId="10" fontId="12" numFmtId="0" xfId="0" applyAlignment="1" applyBorder="1" applyFont="1">
      <alignment horizontal="right" shrinkToFit="0" vertical="bottom" wrapText="0"/>
    </xf>
    <xf borderId="5" fillId="10" fontId="12" numFmtId="0" xfId="0" applyAlignment="1" applyBorder="1" applyFont="1">
      <alignment shrinkToFit="0" vertical="bottom" wrapText="0"/>
    </xf>
    <xf borderId="5" fillId="10" fontId="12" numFmtId="0" xfId="0" applyAlignment="1" applyBorder="1" applyFont="1">
      <alignment horizontal="right" shrinkToFit="0" vertical="bottom" wrapText="0"/>
    </xf>
    <xf borderId="20" fillId="10" fontId="12" numFmtId="0" xfId="0" applyAlignment="1" applyBorder="1" applyFont="1">
      <alignment shrinkToFit="0" vertical="bottom" wrapText="0"/>
    </xf>
    <xf borderId="20" fillId="10" fontId="12" numFmtId="0" xfId="0" applyAlignment="1" applyBorder="1" applyFont="1">
      <alignment horizontal="right" shrinkToFit="0" vertical="bottom" wrapText="0"/>
    </xf>
    <xf borderId="0" fillId="0" fontId="13" numFmtId="0" xfId="0" applyAlignment="1" applyFont="1">
      <alignment horizontal="center" vertical="bottom"/>
    </xf>
    <xf borderId="0" fillId="0" fontId="23" numFmtId="0" xfId="0" applyAlignment="1" applyFont="1">
      <alignment vertical="bottom"/>
    </xf>
    <xf borderId="0" fillId="3" fontId="3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6" fontId="23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6" fontId="23" numFmtId="0" xfId="0" applyAlignment="1" applyFont="1">
      <alignment vertical="bottom"/>
    </xf>
    <xf borderId="0" fillId="6" fontId="13" numFmtId="0" xfId="0" applyAlignment="1" applyFont="1">
      <alignment horizontal="center" vertical="bottom"/>
    </xf>
    <xf borderId="0" fillId="4" fontId="23" numFmtId="0" xfId="0" applyAlignment="1" applyFont="1">
      <alignment vertical="bottom"/>
    </xf>
    <xf borderId="0" fillId="6" fontId="1" numFmtId="0" xfId="0" applyAlignment="1" applyFont="1">
      <alignment readingOrder="0" vertical="top"/>
    </xf>
    <xf borderId="0" fillId="0" fontId="9" numFmtId="0" xfId="0" applyAlignment="1" applyFont="1">
      <alignment readingOrder="0" vertical="bottom"/>
    </xf>
    <xf borderId="0" fillId="4" fontId="14" numFmtId="0" xfId="0" applyAlignment="1" applyFont="1">
      <alignment readingOrder="0" shrinkToFit="0" vertical="bottom" wrapText="0"/>
    </xf>
    <xf borderId="0" fillId="6" fontId="26" numFmtId="0" xfId="0" applyAlignment="1" applyFont="1">
      <alignment vertical="bottom"/>
    </xf>
    <xf borderId="0" fillId="6" fontId="27" numFmtId="0" xfId="0" applyAlignment="1" applyFont="1">
      <alignment horizontal="left" readingOrder="0"/>
    </xf>
    <xf borderId="0" fillId="0" fontId="28" numFmtId="0" xfId="0" applyAlignment="1" applyFont="1">
      <alignment vertical="bottom"/>
    </xf>
    <xf borderId="0" fillId="0" fontId="26" numFmtId="0" xfId="0" applyAlignment="1" applyFont="1">
      <alignment readingOrder="0" vertical="bottom"/>
    </xf>
    <xf borderId="0" fillId="0" fontId="26" numFmtId="0" xfId="0" applyFont="1"/>
    <xf borderId="0" fillId="6" fontId="9" numFmtId="0" xfId="0" applyAlignment="1" applyFont="1">
      <alignment horizontal="center" vertical="bottom"/>
    </xf>
    <xf borderId="0" fillId="0" fontId="26" numFmtId="0" xfId="0" applyAlignment="1" applyFont="1">
      <alignment vertical="bottom"/>
    </xf>
    <xf borderId="0" fillId="4" fontId="26" numFmtId="0" xfId="0" applyAlignment="1" applyFont="1">
      <alignment vertical="bottom"/>
    </xf>
    <xf borderId="0" fillId="0" fontId="26" numFmtId="0" xfId="0" applyAlignment="1" applyFont="1">
      <alignment readingOrder="0"/>
    </xf>
    <xf borderId="0" fillId="6" fontId="26" numFmtId="0" xfId="0" applyAlignment="1" applyFont="1">
      <alignment readingOrder="0" vertical="bottom"/>
    </xf>
    <xf borderId="0" fillId="6" fontId="27" numFmtId="0" xfId="0" applyAlignment="1" applyFont="1">
      <alignment horizontal="left" readingOrder="0" vertical="top"/>
    </xf>
    <xf borderId="0" fillId="2" fontId="26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30" numFmtId="0" xfId="0" applyAlignment="1" applyFont="1">
      <alignment readingOrder="0" shrinkToFit="0" vertical="bottom" wrapText="0"/>
    </xf>
    <xf borderId="0" fillId="0" fontId="31" numFmtId="0" xfId="0" applyAlignment="1" applyFont="1">
      <alignment readingOrder="0" shrinkToFit="0" vertical="bottom" wrapText="0"/>
    </xf>
    <xf borderId="0" fillId="0" fontId="32" numFmtId="0" xfId="0" applyAlignment="1" applyFont="1">
      <alignment shrinkToFit="0" vertical="bottom" wrapText="0"/>
    </xf>
    <xf borderId="0" fillId="0" fontId="33" numFmtId="0" xfId="0" applyAlignment="1" applyFont="1">
      <alignment readingOrder="0" shrinkToFit="0" vertical="bottom" wrapText="0"/>
    </xf>
    <xf borderId="0" fillId="0" fontId="34" numFmtId="0" xfId="0" applyFont="1"/>
    <xf borderId="0" fillId="6" fontId="35" numFmtId="0" xfId="0" applyAlignment="1" applyFont="1">
      <alignment vertical="bottom"/>
    </xf>
    <xf borderId="0" fillId="0" fontId="36" numFmtId="0" xfId="0" applyAlignment="1" applyFont="1">
      <alignment readingOrder="0" shrinkToFit="0" vertical="bottom" wrapText="0"/>
    </xf>
    <xf borderId="0" fillId="0" fontId="37" numFmtId="0" xfId="0" applyAlignment="1" applyFont="1">
      <alignment shrinkToFit="0" vertical="bottom" wrapText="0"/>
    </xf>
    <xf borderId="0" fillId="0" fontId="38" numFmtId="0" xfId="0" applyAlignment="1" applyFont="1">
      <alignment vertical="bottom"/>
    </xf>
    <xf borderId="0" fillId="0" fontId="34" numFmtId="0" xfId="0" applyAlignment="1" applyFont="1">
      <alignment readingOrder="0"/>
    </xf>
    <xf borderId="0" fillId="0" fontId="39" numFmtId="0" xfId="0" applyAlignment="1" applyFont="1">
      <alignment readingOrder="0"/>
    </xf>
    <xf borderId="0" fillId="0" fontId="6" numFmtId="166" xfId="0" applyAlignment="1" applyFont="1" applyNumberFormat="1">
      <alignment readingOrder="0"/>
    </xf>
    <xf borderId="0" fillId="0" fontId="6" numFmtId="167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5">
    <tableStyle count="2" pivot="0" name="2.a Basketball Sports Club-style">
      <tableStyleElement dxfId="2" type="firstRowStripe"/>
      <tableStyleElement dxfId="3" type="secondRowStripe"/>
    </tableStyle>
    <tableStyle count="2" pivot="0" name="2.b Basketball 2526-style">
      <tableStyleElement dxfId="2" type="firstRowStripe"/>
      <tableStyleElement dxfId="3" type="secondRowStripe"/>
    </tableStyle>
    <tableStyle count="2" pivot="0" name="2.b Basketball 2526-style 2">
      <tableStyleElement dxfId="3" type="firstRowStripe"/>
      <tableStyleElement dxfId="2" type="secondRowStripe"/>
    </tableStyle>
    <tableStyle count="2" pivot="0" name="2.b Basketball 2526-style 3">
      <tableStyleElement dxfId="3" type="firstRowStripe"/>
      <tableStyleElement dxfId="2" type="secondRowStripe"/>
    </tableStyle>
    <tableStyle count="4" pivot="0" name="2.b Basketball 2526-style 4">
      <tableStyleElement dxfId="4" type="headerRow"/>
      <tableStyleElement dxfId="3" type="firstRowStripe"/>
      <tableStyleElement dxfId="2" type="secondRowStripe"/>
      <tableStyleElement dxfId="5" size="0" type="wholeTable"/>
    </tableStyle>
    <tableStyle count="2" pivot="0" name="3.b Table Tennis 2526-style">
      <tableStyleElement dxfId="2" type="firstRowStripe"/>
      <tableStyleElement dxfId="3" type="secondRowStripe"/>
    </tableStyle>
    <tableStyle count="2" pivot="0" name="3.b Table Tennis 2526-style 2">
      <tableStyleElement dxfId="2" type="firstRowStripe"/>
      <tableStyleElement dxfId="3" type="secondRowStripe"/>
    </tableStyle>
    <tableStyle count="2" pivot="0" name="3.b Table Tennis 2526-style 3">
      <tableStyleElement dxfId="2" type="firstRowStripe"/>
      <tableStyleElement dxfId="3" type="secondRowStripe"/>
    </tableStyle>
    <tableStyle count="2" pivot="0" name="3.b Table Tennis 2526-style 4">
      <tableStyleElement dxfId="3" type="firstRowStripe"/>
      <tableStyleElement dxfId="2" type="secondRowStripe"/>
    </tableStyle>
    <tableStyle count="2" pivot="0" name="3.b Table Tennis 2526-style 5">
      <tableStyleElement dxfId="3" type="firstRowStripe"/>
      <tableStyleElement dxfId="2" type="secondRowStripe"/>
    </tableStyle>
    <tableStyle count="2" pivot="0" name="4. Badminton-style">
      <tableStyleElement dxfId="2" type="firstRowStripe"/>
      <tableStyleElement dxfId="3" type="secondRowStripe"/>
    </tableStyle>
    <tableStyle count="2" pivot="0" name="4. Badminton-style 2">
      <tableStyleElement dxfId="2" type="firstRowStripe"/>
      <tableStyleElement dxfId="3" type="secondRowStripe"/>
    </tableStyle>
    <tableStyle count="2" pivot="0" name="4. Badminton-style 3">
      <tableStyleElement dxfId="2" type="firstRowStripe"/>
      <tableStyleElement dxfId="3" type="secondRowStripe"/>
    </tableStyle>
    <tableStyle count="2" pivot="0" name="4. Badminton-style 4">
      <tableStyleElement dxfId="2" type="firstRowStripe"/>
      <tableStyleElement dxfId="3" type="secondRowStripe"/>
    </tableStyle>
    <tableStyle count="2" pivot="0" name="5. Futsal-style">
      <tableStyleElement dxfId="2" type="firstRowStripe"/>
      <tableStyleElement dxfId="3" type="secondRowStripe"/>
    </tableStyle>
    <tableStyle count="2" pivot="0" name="5. Futsal-style 2">
      <tableStyleElement dxfId="2" type="firstRowStripe"/>
      <tableStyleElement dxfId="3" type="secondRowStripe"/>
    </tableStyle>
    <tableStyle count="2" pivot="0" name="5. Futsal-style 3">
      <tableStyleElement dxfId="2" type="firstRowStripe"/>
      <tableStyleElement dxfId="3" type="secondRowStripe"/>
    </tableStyle>
    <tableStyle count="2" pivot="0" name="5. Futsal-style 4">
      <tableStyleElement dxfId="2" type="firstRowStripe"/>
      <tableStyleElement dxfId="3" type="secondRowStripe"/>
    </tableStyle>
    <tableStyle count="2" pivot="0" name="5. Futsal-style 5">
      <tableStyleElement dxfId="3" type="firstRowStripe"/>
      <tableStyleElement dxfId="2" type="secondRowStripe"/>
    </tableStyle>
    <tableStyle count="2" pivot="0" name="5. Futsal-style 6">
      <tableStyleElement dxfId="3" type="firstRowStripe"/>
      <tableStyleElement dxfId="2" type="secondRowStripe"/>
    </tableStyle>
    <tableStyle count="2" pivot="0" name="5. Futsal-style 7">
      <tableStyleElement dxfId="2" type="firstRowStripe"/>
      <tableStyleElement dxfId="3" type="secondRowStripe"/>
    </tableStyle>
    <tableStyle count="2" pivot="0" name="6. Singcon-style">
      <tableStyleElement dxfId="3" type="firstRowStripe"/>
      <tableStyleElement dxfId="2" type="secondRowStripe"/>
    </tableStyle>
    <tableStyle count="2" pivot="0" name="6. Singcon-style 2">
      <tableStyleElement dxfId="3" type="firstRowStripe"/>
      <tableStyleElement dxfId="2" type="secondRowStripe"/>
    </tableStyle>
    <tableStyle count="2" pivot="0" name="6. Singcon-style 3">
      <tableStyleElement dxfId="2" type="firstRowStripe"/>
      <tableStyleElement dxfId="3" type="secondRowStripe"/>
    </tableStyle>
    <tableStyle count="2" pivot="0" name="6. Singcon-style 4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lizabeth Andre YUSUF" id="{8b626c72-3bcd-4dd1-94ee-d8856e2ad2ee}" providerId="google-sheets"/>
</x18tc:personList>
</file>

<file path=xl/tables/table1.xml><?xml version="1.0" encoding="utf-8"?>
<table xmlns="http://schemas.openxmlformats.org/spreadsheetml/2006/main" headerRowCount="0" ref="B4:I28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2.a Basketball Sports Club-style" showColumnStripes="0" showFirstColumn="1" showLastColumn="1" showRowStripes="1"/>
</table>
</file>

<file path=xl/tables/table2.xml><?xml version="1.0" encoding="utf-8"?>
<table xmlns="http://schemas.openxmlformats.org/spreadsheetml/2006/main" headerRowCount="0" ref="F17:U19" displayName="Table_2" name="Table_2" id="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2.b Basketball 2526-style" showColumnStripes="0" showFirstColumn="1" showLastColumn="1" showRowStripes="1"/>
</table>
</file>

<file path=xl/tables/table3.xml><?xml version="1.0" encoding="utf-8"?>
<table xmlns="http://schemas.openxmlformats.org/spreadsheetml/2006/main" headerRowCount="0" ref="D38:G40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2.b Basketball 2526-style 2" showColumnStripes="0" showFirstColumn="1" showLastColumn="1" showRowStripes="1"/>
</table>
</file>

<file path=xl/tables/table4.xml><?xml version="1.0" encoding="utf-8"?>
<table xmlns="http://schemas.openxmlformats.org/spreadsheetml/2006/main" headerRowCount="0" ref="C61:G63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2.b Basketball 2526-style 3" showColumnStripes="0" showFirstColumn="1" showLastColumn="1" showRowStripes="1"/>
</table>
</file>

<file path=xl/tables/table5.xml><?xml version="1.0" encoding="utf-8"?>
<table xmlns="http://schemas.openxmlformats.org/spreadsheetml/2006/main" headerRowCount="0" ref="W149:Y149" displayName="Table1" name="Table1" id="5">
  <tableColumns count="3">
    <tableColumn name="Column1" id="1"/>
    <tableColumn name="Column2" id="2"/>
    <tableColumn name="Column3" id="3"/>
  </tableColumns>
  <tableStyleInfo name="2.b Basketball 252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C15:F15" displayName="Table_5" name="Table_5" id="6">
  <tableColumns count="4">
    <tableColumn name="Column1" id="1"/>
    <tableColumn name="Column2" id="2"/>
    <tableColumn name="Column3" id="3"/>
    <tableColumn name="Column4" id="4"/>
  </tableColumns>
  <tableStyleInfo name="3.b Table Tennis 2526-style" showColumnStripes="0" showFirstColumn="1" showLastColumn="1" showRowStripes="1"/>
</table>
</file>

<file path=xl/tables/table7.xml><?xml version="1.0" encoding="utf-8"?>
<table xmlns="http://schemas.openxmlformats.org/spreadsheetml/2006/main" headerRowCount="0" ref="F17:U19" displayName="Table_6" name="Table_6" id="7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3.b Table Tennis 2526-style 2" showColumnStripes="0" showFirstColumn="1" showLastColumn="1" showRowStripes="1"/>
</table>
</file>

<file path=xl/tables/table8.xml><?xml version="1.0" encoding="utf-8"?>
<table xmlns="http://schemas.openxmlformats.org/spreadsheetml/2006/main" headerRowCount="0" ref="C36:E36" displayName="Table_7" name="Table_7" id="8">
  <tableColumns count="3">
    <tableColumn name="Column1" id="1"/>
    <tableColumn name="Column2" id="2"/>
    <tableColumn name="Column3" id="3"/>
  </tableColumns>
  <tableStyleInfo name="3.b Table Tennis 2526-style 3" showColumnStripes="0" showFirstColumn="1" showLastColumn="1" showRowStripes="1"/>
</table>
</file>

<file path=xl/tables/table9.xml><?xml version="1.0" encoding="utf-8"?>
<table xmlns="http://schemas.openxmlformats.org/spreadsheetml/2006/main" headerRowCount="0" ref="D37:E37" displayName="Table_8" name="Table_8" id="9">
  <tableColumns count="2">
    <tableColumn name="Column1" id="1"/>
    <tableColumn name="Column2" id="2"/>
  </tableColumns>
  <tableStyleInfo name="3.b Table Tennis 2526-style 4" showColumnStripes="0" showFirstColumn="1" showLastColumn="1" showRowStripes="1"/>
</table>
</file>

<file path=xl/tables/table10.xml><?xml version="1.0" encoding="utf-8"?>
<table xmlns="http://schemas.openxmlformats.org/spreadsheetml/2006/main" headerRowCount="0" ref="C38:G40" displayName="Table_9" name="Table_9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3.b Table Tennis 2526-style 5" showColumnStripes="0" showFirstColumn="1" showLastColumn="1" showRowStripes="1"/>
</table>
</file>

<file path=xl/tables/table11.xml><?xml version="1.0" encoding="utf-8"?>
<table xmlns="http://schemas.openxmlformats.org/spreadsheetml/2006/main" headerRowCount="0" ref="C15:F16" displayName="Table_10" name="Table_10" id="11">
  <tableColumns count="4">
    <tableColumn name="Column1" id="1"/>
    <tableColumn name="Column2" id="2"/>
    <tableColumn name="Column3" id="3"/>
    <tableColumn name="Column4" id="4"/>
  </tableColumns>
  <tableStyleInfo name="4. Badminton-style" showColumnStripes="0" showFirstColumn="1" showLastColumn="1" showRowStripes="1"/>
</table>
</file>

<file path=xl/tables/table12.xml><?xml version="1.0" encoding="utf-8"?>
<table xmlns="http://schemas.openxmlformats.org/spreadsheetml/2006/main" headerRowCount="0" ref="F17:U18" displayName="Table_11" name="Table_11" id="1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4. Badminton-style 2" showColumnStripes="0" showFirstColumn="1" showLastColumn="1" showRowStripes="1"/>
</table>
</file>

<file path=xl/tables/table13.xml><?xml version="1.0" encoding="utf-8"?>
<table xmlns="http://schemas.openxmlformats.org/spreadsheetml/2006/main" headerRowCount="0" ref="F43:L45" displayName="Table_12" name="Table_12" id="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4. Badminton-style 3" showColumnStripes="0" showFirstColumn="1" showLastColumn="1" showRowStripes="1"/>
</table>
</file>

<file path=xl/tables/table14.xml><?xml version="1.0" encoding="utf-8"?>
<table xmlns="http://schemas.openxmlformats.org/spreadsheetml/2006/main" headerRowCount="0" ref="M43:S43" displayName="Table_13" name="Table_13" id="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4. Badminton-style 4" showColumnStripes="0" showFirstColumn="1" showLastColumn="1" showRowStripes="1"/>
</table>
</file>

<file path=xl/tables/table15.xml><?xml version="1.0" encoding="utf-8"?>
<table xmlns="http://schemas.openxmlformats.org/spreadsheetml/2006/main" headerRowCount="0" ref="C15:F16" displayName="Table_14" name="Table_14" id="15">
  <tableColumns count="4">
    <tableColumn name="Column1" id="1"/>
    <tableColumn name="Column2" id="2"/>
    <tableColumn name="Column3" id="3"/>
    <tableColumn name="Column4" id="4"/>
  </tableColumns>
  <tableStyleInfo name="5. Futsal-style" showColumnStripes="0" showFirstColumn="1" showLastColumn="1" showRowStripes="1"/>
</table>
</file>

<file path=xl/tables/table16.xml><?xml version="1.0" encoding="utf-8"?>
<table xmlns="http://schemas.openxmlformats.org/spreadsheetml/2006/main" headerRowCount="0" ref="F17:V19" displayName="Table_15" name="Table_15" id="16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5. Futsal-style 2" showColumnStripes="0" showFirstColumn="1" showLastColumn="1" showRowStripes="1"/>
</table>
</file>

<file path=xl/tables/table17.xml><?xml version="1.0" encoding="utf-8"?>
<table xmlns="http://schemas.openxmlformats.org/spreadsheetml/2006/main" headerRowCount="0" ref="C19:E19" displayName="Table_16" name="Table_16" id="17">
  <tableColumns count="3">
    <tableColumn name="Column1" id="1"/>
    <tableColumn name="Column2" id="2"/>
    <tableColumn name="Column3" id="3"/>
  </tableColumns>
  <tableStyleInfo name="5. Futsal-style 3" showColumnStripes="0" showFirstColumn="1" showLastColumn="1" showRowStripes="1"/>
</table>
</file>

<file path=xl/tables/table18.xml><?xml version="1.0" encoding="utf-8"?>
<table xmlns="http://schemas.openxmlformats.org/spreadsheetml/2006/main" headerRowCount="0" ref="F21:V21" displayName="Table_17" name="Table_17" id="18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5. Futsal-style 4" showColumnStripes="0" showFirstColumn="1" showLastColumn="1" showRowStripes="1"/>
</table>
</file>

<file path=xl/tables/table19.xml><?xml version="1.0" encoding="utf-8"?>
<table xmlns="http://schemas.openxmlformats.org/spreadsheetml/2006/main" headerRowCount="0" ref="C23:C32" displayName="Table_18" name="Table_18" id="19">
  <tableColumns count="1">
    <tableColumn name="Column1" id="1"/>
  </tableColumns>
  <tableStyleInfo name="5. Futsal-style 5" showColumnStripes="0" showFirstColumn="1" showLastColumn="1" showRowStripes="1"/>
</table>
</file>

<file path=xl/tables/table20.xml><?xml version="1.0" encoding="utf-8"?>
<table xmlns="http://schemas.openxmlformats.org/spreadsheetml/2006/main" headerRowCount="0" ref="D23:F33" displayName="Table_19" name="Table_19" id="20">
  <tableColumns count="3">
    <tableColumn name="Column1" id="1"/>
    <tableColumn name="Column2" id="2"/>
    <tableColumn name="Column3" id="3"/>
  </tableColumns>
  <tableStyleInfo name="5. Futsal-style 6" showColumnStripes="0" showFirstColumn="1" showLastColumn="1" showRowStripes="1"/>
</table>
</file>

<file path=xl/tables/table21.xml><?xml version="1.0" encoding="utf-8"?>
<table xmlns="http://schemas.openxmlformats.org/spreadsheetml/2006/main" headerRowCount="0" ref="S28:T28" displayName="Table_20" name="Table_20" id="21">
  <tableColumns count="2">
    <tableColumn name="Column1" id="1"/>
    <tableColumn name="Column2" id="2"/>
  </tableColumns>
  <tableStyleInfo name="5. Futsal-style 7" showColumnStripes="0" showFirstColumn="1" showLastColumn="1" showRowStripes="1"/>
</table>
</file>

<file path=xl/tables/table22.xml><?xml version="1.0" encoding="utf-8"?>
<table xmlns="http://schemas.openxmlformats.org/spreadsheetml/2006/main" headerRowCount="0" ref="B15" displayName="Table_21" name="Table_21" id="22">
  <tableColumns count="1">
    <tableColumn name="Column1" id="1"/>
  </tableColumns>
  <tableStyleInfo name="6. Singcon-style" showColumnStripes="0" showFirstColumn="1" showLastColumn="1" showRowStripes="1"/>
</table>
</file>

<file path=xl/tables/table23.xml><?xml version="1.0" encoding="utf-8"?>
<table xmlns="http://schemas.openxmlformats.org/spreadsheetml/2006/main" headerRowCount="0" ref="C15:D15" displayName="Table_22" name="Table_22" id="23">
  <tableColumns count="2">
    <tableColumn name="Column1" id="1"/>
    <tableColumn name="Column2" id="2"/>
  </tableColumns>
  <tableStyleInfo name="6. Singcon-style 2" showColumnStripes="0" showFirstColumn="1" showLastColumn="1" showRowStripes="1"/>
</table>
</file>

<file path=xl/tables/table24.xml><?xml version="1.0" encoding="utf-8"?>
<table xmlns="http://schemas.openxmlformats.org/spreadsheetml/2006/main" headerRowCount="0" ref="B22:F25" displayName="Table_23" name="Table_23" id="24">
  <tableColumns count="5">
    <tableColumn name="Column1" id="1"/>
    <tableColumn name="Column2" id="2"/>
    <tableColumn name="Column3" id="3"/>
    <tableColumn name="Column4" id="4"/>
    <tableColumn name="Column5" id="5"/>
  </tableColumns>
  <tableStyleInfo name="6. Singcon-style 3" showColumnStripes="0" showFirstColumn="1" showLastColumn="1" showRowStripes="1"/>
</table>
</file>

<file path=xl/tables/table25.xml><?xml version="1.0" encoding="utf-8"?>
<table xmlns="http://schemas.openxmlformats.org/spreadsheetml/2006/main" headerRowCount="0" ref="B30:D35" displayName="Table_24" name="Table_24" id="25">
  <tableColumns count="3">
    <tableColumn name="Column1" id="1"/>
    <tableColumn name="Column2" id="2"/>
    <tableColumn name="Column3" id="3"/>
  </tableColumns>
  <tableStyleInfo name="6. Singcon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37" dT="2026-04-08T14:15:59.00" personId="{8b626c72-3bcd-4dd1-94ee-d8856e2ad2ee}" id="{f5256277-aed6-4f43-abe9-849d794371f9}" done="0">
    <x18tc:text xml:space="preserve">help coordinate with other hall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9" Type="http://schemas.openxmlformats.org/officeDocument/2006/relationships/table" Target="../tables/table8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9" Type="http://schemas.openxmlformats.org/officeDocument/2006/relationships/table" Target="../tables/table14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Relationship Id="rId8" Type="http://schemas.openxmlformats.org/officeDocument/2006/relationships/table" Target="../tables/table1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8.xml"/><Relationship Id="rId13" Type="http://schemas.openxmlformats.org/officeDocument/2006/relationships/table" Target="../tables/table15.xml"/><Relationship Id="rId15" Type="http://schemas.openxmlformats.org/officeDocument/2006/relationships/table" Target="../tables/table17.xml"/><Relationship Id="rId14" Type="http://schemas.openxmlformats.org/officeDocument/2006/relationships/table" Target="../tables/table16.xml"/><Relationship Id="rId17" Type="http://schemas.openxmlformats.org/officeDocument/2006/relationships/table" Target="../tables/table19.xml"/><Relationship Id="rId16" Type="http://schemas.openxmlformats.org/officeDocument/2006/relationships/table" Target="../tables/table18.xml"/><Relationship Id="rId5" Type="http://schemas.openxmlformats.org/officeDocument/2006/relationships/vmlDrawing" Target="../drawings/vmlDrawing1.vml"/><Relationship Id="rId19" Type="http://schemas.openxmlformats.org/officeDocument/2006/relationships/table" Target="../tables/table21.xml"/><Relationship Id="rId18" Type="http://schemas.openxmlformats.org/officeDocument/2006/relationships/table" Target="../tables/table2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9" Type="http://schemas.openxmlformats.org/officeDocument/2006/relationships/table" Target="../tables/table25.xml"/><Relationship Id="rId6" Type="http://schemas.openxmlformats.org/officeDocument/2006/relationships/table" Target="../tables/table22.xml"/><Relationship Id="rId7" Type="http://schemas.openxmlformats.org/officeDocument/2006/relationships/table" Target="../tables/table23.xml"/><Relationship Id="rId8" Type="http://schemas.openxmlformats.org/officeDocument/2006/relationships/table" Target="../tables/table2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38"/>
    <col customWidth="1" min="3" max="3" width="11.88"/>
    <col customWidth="1" min="4" max="4" width="9.38"/>
    <col customWidth="1" min="5" max="5" width="11.38"/>
    <col customWidth="1" min="6" max="6" width="15.0"/>
    <col customWidth="1" min="7" max="7" width="9.63"/>
    <col customWidth="1" min="8" max="8" width="15.5"/>
    <col customWidth="1" min="9" max="9" width="22.88"/>
    <col customWidth="1" min="11" max="11" width="86.38"/>
    <col customWidth="1" min="12" max="12" width="21.5"/>
    <col customWidth="1" min="13" max="13" width="14.63"/>
    <col customWidth="1" min="14" max="14" width="10.63"/>
    <col customWidth="1" min="15" max="15" width="19.88"/>
    <col customWidth="1" min="16" max="16" width="10.38"/>
    <col customWidth="1" min="17" max="17" width="10.13"/>
    <col customWidth="1" min="18" max="18" width="18.75"/>
    <col customWidth="1" min="19" max="19" width="9.63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2"/>
      <c r="C2" s="7" t="s">
        <v>2</v>
      </c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2"/>
      <c r="C3" s="3" t="s">
        <v>3</v>
      </c>
      <c r="D3" s="4"/>
      <c r="E3" s="4"/>
      <c r="F3" s="4"/>
      <c r="G3" s="4"/>
      <c r="H3" s="5"/>
      <c r="I3" s="5"/>
      <c r="J3" s="5"/>
      <c r="K3" s="5"/>
      <c r="L3" s="5"/>
      <c r="M3" s="5"/>
      <c r="N3" s="5"/>
      <c r="O3" s="5"/>
      <c r="P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>
      <c r="A4" s="1"/>
      <c r="B4" s="2"/>
      <c r="C4" s="8" t="s">
        <v>4</v>
      </c>
      <c r="D4" s="9"/>
      <c r="E4" s="9"/>
      <c r="F4" s="9"/>
      <c r="G4" s="9"/>
      <c r="H4" s="9"/>
      <c r="I4" s="10"/>
      <c r="J4" s="10"/>
      <c r="K4" s="10"/>
      <c r="L4" s="10"/>
      <c r="M4" s="10"/>
      <c r="N4" s="10"/>
      <c r="O4" s="10"/>
      <c r="P4" s="1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>
      <c r="A5" s="1"/>
      <c r="B5" s="2"/>
      <c r="C5" s="12" t="s">
        <v>5</v>
      </c>
      <c r="D5" s="13"/>
      <c r="E5" s="13"/>
      <c r="F5" s="13"/>
      <c r="G5" s="13"/>
      <c r="H5" s="13"/>
      <c r="I5" s="14"/>
      <c r="J5" s="14"/>
      <c r="K5" s="14"/>
      <c r="L5" s="14"/>
      <c r="M5" s="14"/>
      <c r="N5" s="14"/>
      <c r="O5" s="14"/>
      <c r="P5" s="15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>
      <c r="A6" s="1"/>
      <c r="B6" s="2"/>
      <c r="C6" s="12"/>
      <c r="D6" s="13"/>
      <c r="E6" s="13"/>
      <c r="F6" s="13"/>
      <c r="G6" s="13"/>
      <c r="H6" s="13"/>
      <c r="I6" s="13"/>
      <c r="J6" s="13"/>
      <c r="K6" s="13"/>
      <c r="L6" s="14"/>
      <c r="M6" s="14"/>
      <c r="N6" s="14"/>
      <c r="O6" s="14"/>
      <c r="P6" s="1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>
      <c r="A7" s="1"/>
      <c r="B7" s="2"/>
      <c r="C7" s="16" t="s">
        <v>6</v>
      </c>
      <c r="D7" s="17"/>
      <c r="E7" s="17"/>
      <c r="F7" s="17"/>
      <c r="G7" s="17"/>
      <c r="H7" s="17"/>
      <c r="I7" s="2"/>
      <c r="J7" s="2"/>
      <c r="K7" s="2"/>
      <c r="L7" s="2"/>
      <c r="M7" s="2"/>
      <c r="N7" s="2"/>
      <c r="O7" s="2"/>
      <c r="P7" s="18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>
      <c r="B8" s="19"/>
      <c r="C8" s="20" t="s">
        <v>7</v>
      </c>
      <c r="H8" s="21"/>
      <c r="J8" s="19"/>
      <c r="K8" s="19"/>
      <c r="L8" s="19"/>
      <c r="M8" s="19"/>
      <c r="N8" s="19"/>
      <c r="O8" s="19"/>
    </row>
    <row r="9">
      <c r="B9" s="19"/>
      <c r="C9" s="20" t="s">
        <v>8</v>
      </c>
      <c r="H9" s="21"/>
      <c r="J9" s="19"/>
      <c r="K9" s="19"/>
      <c r="L9" s="19"/>
      <c r="M9" s="19"/>
      <c r="N9" s="19"/>
      <c r="O9" s="19"/>
    </row>
    <row r="10">
      <c r="B10" s="19"/>
      <c r="C10" s="20" t="s">
        <v>9</v>
      </c>
      <c r="H10" s="21"/>
      <c r="J10" s="19"/>
      <c r="K10" s="19"/>
      <c r="L10" s="19"/>
      <c r="M10" s="19"/>
      <c r="N10" s="19"/>
      <c r="O10" s="19"/>
    </row>
    <row r="11">
      <c r="B11" s="19"/>
      <c r="C11" s="19" t="s">
        <v>10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</row>
    <row r="12">
      <c r="B12" s="19"/>
      <c r="C12" s="2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>
      <c r="B13" s="19"/>
      <c r="C13" s="22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</row>
    <row r="14">
      <c r="B14" s="23" t="s">
        <v>11</v>
      </c>
      <c r="C14" s="23" t="s">
        <v>12</v>
      </c>
      <c r="D14" s="24" t="s">
        <v>13</v>
      </c>
      <c r="E14" s="25" t="s">
        <v>14</v>
      </c>
      <c r="F14" s="23" t="s">
        <v>15</v>
      </c>
      <c r="G14" s="23" t="s">
        <v>16</v>
      </c>
      <c r="H14" s="23" t="s">
        <v>17</v>
      </c>
      <c r="I14" s="23" t="s">
        <v>18</v>
      </c>
      <c r="J14" s="23" t="s">
        <v>19</v>
      </c>
      <c r="K14" s="26" t="s">
        <v>20</v>
      </c>
      <c r="L14" s="26" t="s">
        <v>21</v>
      </c>
      <c r="M14" s="26" t="s">
        <v>22</v>
      </c>
      <c r="N14" s="27" t="s">
        <v>23</v>
      </c>
      <c r="O14" s="27" t="s">
        <v>24</v>
      </c>
      <c r="P14" s="27" t="s">
        <v>25</v>
      </c>
      <c r="Q14" s="27" t="s">
        <v>23</v>
      </c>
      <c r="R14" s="27" t="s">
        <v>26</v>
      </c>
      <c r="S14" s="27" t="s">
        <v>25</v>
      </c>
      <c r="T14" s="27" t="s">
        <v>23</v>
      </c>
    </row>
    <row r="15" ht="30.0" customHeight="1">
      <c r="A15" s="28" t="s">
        <v>27</v>
      </c>
      <c r="B15" s="29" t="s">
        <v>28</v>
      </c>
      <c r="C15" s="28" t="s">
        <v>29</v>
      </c>
      <c r="D15" s="1" t="s">
        <v>30</v>
      </c>
      <c r="E15" s="28">
        <v>4.0</v>
      </c>
      <c r="F15" s="29" t="s">
        <v>31</v>
      </c>
      <c r="G15" s="29" t="s">
        <v>32</v>
      </c>
      <c r="H15" s="29"/>
      <c r="I15" s="29"/>
      <c r="J15" s="29"/>
      <c r="M15" s="30"/>
      <c r="O15" s="31"/>
      <c r="P15" s="32"/>
      <c r="Q15" s="32"/>
      <c r="R15" s="32"/>
    </row>
    <row r="16">
      <c r="A16" s="28"/>
      <c r="B16" s="29" t="s">
        <v>33</v>
      </c>
      <c r="C16" s="28" t="s">
        <v>29</v>
      </c>
      <c r="D16" s="1" t="s">
        <v>34</v>
      </c>
      <c r="F16" s="29" t="s">
        <v>35</v>
      </c>
      <c r="G16" s="29"/>
      <c r="H16" s="29"/>
      <c r="I16" s="29"/>
      <c r="J16" s="29"/>
      <c r="M16" s="30"/>
      <c r="O16" s="31"/>
      <c r="P16" s="32"/>
      <c r="Q16" s="32"/>
      <c r="R16" s="32"/>
    </row>
    <row r="17" ht="27.75" customHeight="1">
      <c r="B17" s="29" t="s">
        <v>36</v>
      </c>
      <c r="C17" s="28" t="s">
        <v>29</v>
      </c>
      <c r="F17" s="33">
        <v>45980.0</v>
      </c>
      <c r="G17" s="29" t="s">
        <v>32</v>
      </c>
      <c r="H17" s="29"/>
      <c r="I17" s="29"/>
      <c r="J17" s="29"/>
      <c r="M17" s="30"/>
      <c r="O17" s="31"/>
      <c r="P17" s="32"/>
      <c r="Q17" s="32"/>
      <c r="R17" s="32"/>
    </row>
    <row r="18">
      <c r="B18" s="34"/>
      <c r="F18" s="33"/>
      <c r="G18" s="29"/>
      <c r="H18" s="29"/>
      <c r="I18" s="34"/>
      <c r="J18" s="29"/>
      <c r="M18" s="30"/>
      <c r="O18" s="31"/>
      <c r="P18" s="32"/>
      <c r="Q18" s="32"/>
      <c r="R18" s="32"/>
    </row>
    <row r="19">
      <c r="A19" s="28"/>
      <c r="B19" s="29"/>
      <c r="C19" s="28"/>
      <c r="F19" s="33"/>
      <c r="G19" s="29"/>
      <c r="H19" s="29"/>
      <c r="I19" s="34"/>
      <c r="J19" s="29"/>
      <c r="M19" s="30"/>
      <c r="O19" s="31"/>
      <c r="P19" s="32"/>
      <c r="Q19" s="32"/>
      <c r="R19" s="32"/>
    </row>
    <row r="20">
      <c r="A20" s="28" t="s">
        <v>37</v>
      </c>
      <c r="B20" s="29" t="s">
        <v>38</v>
      </c>
      <c r="C20" s="28" t="s">
        <v>29</v>
      </c>
      <c r="F20" s="29" t="s">
        <v>39</v>
      </c>
      <c r="G20" s="29"/>
      <c r="H20" s="29"/>
      <c r="I20" s="29"/>
      <c r="J20" s="29"/>
      <c r="M20" s="30"/>
      <c r="O20" s="31"/>
      <c r="P20" s="32"/>
      <c r="Q20" s="32"/>
      <c r="R20" s="32"/>
    </row>
    <row r="21">
      <c r="B21" s="29" t="s">
        <v>40</v>
      </c>
      <c r="C21" s="28" t="s">
        <v>29</v>
      </c>
      <c r="F21" s="33"/>
      <c r="G21" s="34"/>
      <c r="H21" s="34"/>
      <c r="I21" s="29"/>
      <c r="J21" s="34"/>
      <c r="O21" s="1"/>
      <c r="P21" s="32"/>
      <c r="Q21" s="32"/>
      <c r="R21" s="32"/>
    </row>
    <row r="22">
      <c r="B22" s="29" t="s">
        <v>41</v>
      </c>
      <c r="C22" s="28" t="s">
        <v>29</v>
      </c>
      <c r="F22" s="33">
        <v>45756.0</v>
      </c>
      <c r="G22" s="34"/>
      <c r="H22" s="34"/>
      <c r="I22" s="29"/>
      <c r="J22" s="34"/>
      <c r="O22" s="1"/>
      <c r="P22" s="32"/>
      <c r="Q22" s="32"/>
      <c r="R22" s="32"/>
    </row>
    <row r="23">
      <c r="F23" s="33">
        <v>45756.0</v>
      </c>
      <c r="G23" s="34"/>
      <c r="H23" s="34"/>
      <c r="I23" s="34"/>
      <c r="J23" s="34"/>
      <c r="O23" s="1"/>
      <c r="P23" s="32"/>
      <c r="Q23" s="32"/>
      <c r="R23" s="32"/>
    </row>
    <row r="24">
      <c r="F24" s="35"/>
      <c r="O24" s="1"/>
      <c r="P24" s="32"/>
      <c r="Q24" s="32"/>
      <c r="R24" s="32"/>
    </row>
    <row r="25">
      <c r="O25" s="1"/>
      <c r="P25" s="32"/>
      <c r="Q25" s="32"/>
      <c r="R25" s="32"/>
    </row>
    <row r="26">
      <c r="O26" s="1"/>
      <c r="P26" s="32"/>
      <c r="Q26" s="32"/>
      <c r="R26" s="32"/>
    </row>
    <row r="27">
      <c r="O27" s="1"/>
      <c r="P27" s="32"/>
      <c r="Q27" s="32"/>
      <c r="R27" s="32"/>
    </row>
    <row r="28">
      <c r="O28" s="1"/>
      <c r="P28" s="32"/>
      <c r="Q28" s="32"/>
      <c r="R28" s="32"/>
    </row>
    <row r="29">
      <c r="O29" s="1"/>
      <c r="P29" s="32"/>
      <c r="Q29" s="32"/>
      <c r="R29" s="32"/>
    </row>
    <row r="30">
      <c r="O30" s="1"/>
      <c r="P30" s="32"/>
      <c r="Q30" s="32"/>
      <c r="R30" s="32"/>
    </row>
    <row r="31">
      <c r="O31" s="1"/>
      <c r="P31" s="32"/>
      <c r="Q31" s="32"/>
      <c r="R31" s="32"/>
    </row>
    <row r="32">
      <c r="P32" s="32"/>
      <c r="Q32" s="32"/>
      <c r="R32" s="32"/>
    </row>
    <row r="33">
      <c r="P33" s="32"/>
      <c r="Q33" s="32"/>
      <c r="R33" s="32"/>
    </row>
    <row r="34">
      <c r="P34" s="32"/>
      <c r="Q34" s="32"/>
      <c r="R34" s="32"/>
    </row>
    <row r="35">
      <c r="P35" s="32"/>
      <c r="Q35" s="32"/>
      <c r="R35" s="32"/>
    </row>
    <row r="36">
      <c r="P36" s="32"/>
      <c r="Q36" s="32"/>
      <c r="R36" s="32"/>
    </row>
    <row r="37">
      <c r="P37" s="32"/>
      <c r="Q37" s="32"/>
      <c r="R37" s="32"/>
    </row>
    <row r="38">
      <c r="P38" s="32"/>
      <c r="Q38" s="32"/>
      <c r="R38" s="32"/>
    </row>
    <row r="39">
      <c r="P39" s="32"/>
      <c r="Q39" s="32"/>
      <c r="R39" s="32"/>
    </row>
    <row r="40">
      <c r="P40" s="32"/>
      <c r="Q40" s="32"/>
      <c r="R40" s="32"/>
    </row>
    <row r="41">
      <c r="P41" s="32"/>
      <c r="Q41" s="32"/>
      <c r="R41" s="32"/>
    </row>
    <row r="42">
      <c r="P42" s="32"/>
      <c r="Q42" s="32"/>
      <c r="R42" s="32"/>
    </row>
    <row r="43">
      <c r="P43" s="32"/>
      <c r="Q43" s="32"/>
      <c r="R43" s="32"/>
    </row>
    <row r="44">
      <c r="P44" s="32"/>
      <c r="Q44" s="32"/>
      <c r="R44" s="32"/>
    </row>
    <row r="45">
      <c r="P45" s="32"/>
      <c r="Q45" s="32"/>
      <c r="R45" s="32"/>
    </row>
    <row r="46">
      <c r="P46" s="32"/>
      <c r="Q46" s="32"/>
      <c r="R46" s="32"/>
    </row>
    <row r="47">
      <c r="P47" s="32"/>
      <c r="Q47" s="32"/>
      <c r="R47" s="32"/>
    </row>
    <row r="48">
      <c r="P48" s="32"/>
      <c r="Q48" s="32"/>
      <c r="R48" s="32"/>
    </row>
    <row r="49">
      <c r="P49" s="32"/>
      <c r="Q49" s="32"/>
      <c r="R49" s="32"/>
    </row>
    <row r="50">
      <c r="P50" s="32"/>
      <c r="Q50" s="32"/>
      <c r="R50" s="32"/>
    </row>
    <row r="51">
      <c r="P51" s="32"/>
      <c r="Q51" s="32"/>
      <c r="R51" s="32"/>
    </row>
    <row r="52">
      <c r="P52" s="32"/>
      <c r="Q52" s="32"/>
      <c r="R52" s="32"/>
    </row>
    <row r="53">
      <c r="P53" s="32"/>
      <c r="Q53" s="32"/>
      <c r="R53" s="32"/>
    </row>
    <row r="54">
      <c r="P54" s="32"/>
      <c r="Q54" s="32"/>
      <c r="R54" s="32"/>
    </row>
    <row r="55">
      <c r="P55" s="32"/>
      <c r="Q55" s="32"/>
      <c r="R55" s="32"/>
    </row>
    <row r="56">
      <c r="P56" s="32"/>
      <c r="Q56" s="32"/>
      <c r="R56" s="32"/>
    </row>
    <row r="57">
      <c r="P57" s="32"/>
      <c r="Q57" s="32"/>
      <c r="R57" s="32"/>
    </row>
    <row r="58">
      <c r="P58" s="32"/>
      <c r="Q58" s="32"/>
      <c r="R58" s="32"/>
    </row>
    <row r="59">
      <c r="P59" s="32"/>
      <c r="Q59" s="32"/>
      <c r="R59" s="32"/>
    </row>
    <row r="60">
      <c r="P60" s="32"/>
      <c r="Q60" s="32"/>
      <c r="R60" s="32"/>
    </row>
    <row r="61">
      <c r="P61" s="32"/>
      <c r="Q61" s="32"/>
      <c r="R61" s="32"/>
    </row>
    <row r="62">
      <c r="P62" s="32"/>
      <c r="Q62" s="32"/>
      <c r="R62" s="32"/>
    </row>
    <row r="63">
      <c r="P63" s="32"/>
      <c r="Q63" s="32"/>
      <c r="R63" s="32"/>
    </row>
    <row r="64">
      <c r="P64" s="32"/>
      <c r="Q64" s="32"/>
      <c r="R64" s="32"/>
    </row>
    <row r="65">
      <c r="P65" s="32"/>
      <c r="Q65" s="32"/>
      <c r="R65" s="32"/>
    </row>
    <row r="66">
      <c r="P66" s="32"/>
      <c r="Q66" s="32"/>
      <c r="R66" s="32"/>
    </row>
    <row r="67">
      <c r="P67" s="32"/>
      <c r="Q67" s="32"/>
      <c r="R67" s="32"/>
    </row>
    <row r="68">
      <c r="P68" s="32"/>
      <c r="Q68" s="32"/>
      <c r="R68" s="32"/>
    </row>
    <row r="69">
      <c r="P69" s="32"/>
      <c r="Q69" s="32"/>
      <c r="R69" s="32"/>
    </row>
    <row r="70">
      <c r="P70" s="32"/>
      <c r="Q70" s="32"/>
      <c r="R70" s="32"/>
    </row>
    <row r="71">
      <c r="P71" s="32"/>
      <c r="Q71" s="32"/>
      <c r="R71" s="32"/>
    </row>
    <row r="72">
      <c r="P72" s="32"/>
      <c r="Q72" s="32"/>
      <c r="R72" s="32"/>
    </row>
    <row r="73">
      <c r="P73" s="32"/>
      <c r="Q73" s="32"/>
      <c r="R73" s="32"/>
    </row>
    <row r="74">
      <c r="P74" s="32"/>
      <c r="Q74" s="32"/>
      <c r="R74" s="32"/>
    </row>
    <row r="75">
      <c r="P75" s="32"/>
      <c r="Q75" s="32"/>
      <c r="R75" s="32"/>
    </row>
    <row r="76">
      <c r="P76" s="32"/>
      <c r="Q76" s="32"/>
      <c r="R76" s="32"/>
    </row>
    <row r="77">
      <c r="P77" s="32"/>
      <c r="Q77" s="32"/>
      <c r="R77" s="32"/>
    </row>
    <row r="78">
      <c r="P78" s="32"/>
      <c r="Q78" s="32"/>
      <c r="R78" s="32"/>
    </row>
    <row r="79">
      <c r="P79" s="32"/>
      <c r="Q79" s="32"/>
      <c r="R79" s="32"/>
    </row>
    <row r="80">
      <c r="P80" s="32"/>
      <c r="Q80" s="32"/>
      <c r="R80" s="32"/>
    </row>
    <row r="81">
      <c r="P81" s="32"/>
      <c r="Q81" s="32"/>
      <c r="R81" s="32"/>
    </row>
    <row r="82">
      <c r="P82" s="32"/>
      <c r="Q82" s="32"/>
      <c r="R82" s="32"/>
    </row>
    <row r="83">
      <c r="P83" s="32"/>
      <c r="Q83" s="32"/>
      <c r="R83" s="32"/>
    </row>
    <row r="84">
      <c r="P84" s="32"/>
      <c r="Q84" s="32"/>
      <c r="R84" s="32"/>
    </row>
    <row r="85">
      <c r="P85" s="32"/>
      <c r="Q85" s="32"/>
      <c r="R85" s="32"/>
    </row>
    <row r="86">
      <c r="P86" s="32"/>
      <c r="Q86" s="32"/>
      <c r="R86" s="32"/>
    </row>
    <row r="87">
      <c r="P87" s="32"/>
      <c r="Q87" s="32"/>
      <c r="R87" s="32"/>
    </row>
    <row r="88">
      <c r="P88" s="32"/>
      <c r="Q88" s="32"/>
      <c r="R88" s="32"/>
    </row>
    <row r="89">
      <c r="P89" s="32"/>
      <c r="Q89" s="32"/>
      <c r="R89" s="32"/>
    </row>
    <row r="90">
      <c r="P90" s="32"/>
      <c r="Q90" s="32"/>
      <c r="R90" s="32"/>
    </row>
    <row r="91">
      <c r="P91" s="32"/>
      <c r="Q91" s="32"/>
      <c r="R91" s="32"/>
    </row>
    <row r="92">
      <c r="P92" s="32"/>
      <c r="Q92" s="32"/>
      <c r="R92" s="32"/>
    </row>
    <row r="93">
      <c r="P93" s="32"/>
      <c r="Q93" s="32"/>
      <c r="R93" s="32"/>
    </row>
    <row r="94">
      <c r="P94" s="32"/>
      <c r="Q94" s="32"/>
      <c r="R94" s="32"/>
    </row>
    <row r="95">
      <c r="P95" s="32"/>
      <c r="Q95" s="32"/>
      <c r="R95" s="32"/>
    </row>
    <row r="96">
      <c r="P96" s="32"/>
      <c r="Q96" s="32"/>
      <c r="R96" s="32"/>
    </row>
    <row r="97">
      <c r="P97" s="32"/>
      <c r="Q97" s="32"/>
      <c r="R97" s="32"/>
    </row>
    <row r="98">
      <c r="P98" s="32"/>
      <c r="Q98" s="32"/>
      <c r="R98" s="32"/>
    </row>
    <row r="99">
      <c r="P99" s="32"/>
      <c r="Q99" s="32"/>
      <c r="R99" s="32"/>
    </row>
    <row r="100">
      <c r="P100" s="32"/>
      <c r="Q100" s="32"/>
      <c r="R100" s="32"/>
    </row>
    <row r="101">
      <c r="P101" s="32"/>
      <c r="Q101" s="32"/>
      <c r="R101" s="32"/>
    </row>
    <row r="102">
      <c r="P102" s="32"/>
      <c r="Q102" s="32"/>
      <c r="R102" s="32"/>
    </row>
    <row r="103">
      <c r="P103" s="32"/>
      <c r="Q103" s="32"/>
      <c r="R103" s="32"/>
    </row>
    <row r="104">
      <c r="P104" s="32"/>
      <c r="Q104" s="32"/>
      <c r="R104" s="32"/>
    </row>
    <row r="105">
      <c r="P105" s="32"/>
      <c r="Q105" s="32"/>
      <c r="R105" s="32"/>
    </row>
    <row r="106">
      <c r="P106" s="32"/>
      <c r="Q106" s="32"/>
      <c r="R106" s="32"/>
    </row>
    <row r="107">
      <c r="P107" s="32"/>
      <c r="Q107" s="32"/>
      <c r="R107" s="32"/>
    </row>
    <row r="108">
      <c r="P108" s="32"/>
      <c r="Q108" s="32"/>
      <c r="R108" s="32"/>
    </row>
    <row r="109">
      <c r="P109" s="32"/>
      <c r="Q109" s="32"/>
      <c r="R109" s="32"/>
    </row>
    <row r="110">
      <c r="P110" s="32"/>
      <c r="Q110" s="32"/>
      <c r="R110" s="32"/>
    </row>
    <row r="111">
      <c r="P111" s="32"/>
      <c r="Q111" s="32"/>
      <c r="R111" s="32"/>
    </row>
    <row r="112">
      <c r="P112" s="32"/>
      <c r="Q112" s="32"/>
      <c r="R112" s="32"/>
    </row>
    <row r="113">
      <c r="P113" s="32"/>
      <c r="Q113" s="32"/>
      <c r="R113" s="32"/>
    </row>
    <row r="114">
      <c r="P114" s="32"/>
      <c r="Q114" s="32"/>
      <c r="R114" s="32"/>
    </row>
    <row r="115">
      <c r="P115" s="32"/>
      <c r="Q115" s="32"/>
      <c r="R115" s="32"/>
    </row>
    <row r="116">
      <c r="P116" s="32"/>
      <c r="Q116" s="32"/>
      <c r="R116" s="32"/>
    </row>
    <row r="117">
      <c r="P117" s="32"/>
      <c r="Q117" s="32"/>
      <c r="R117" s="32"/>
    </row>
    <row r="118">
      <c r="P118" s="36"/>
      <c r="Q118" s="36"/>
      <c r="R118" s="37"/>
    </row>
    <row r="119">
      <c r="P119" s="36"/>
      <c r="Q119" s="36"/>
      <c r="R119" s="37"/>
    </row>
    <row r="120">
      <c r="P120" s="36"/>
      <c r="Q120" s="36"/>
      <c r="R120" s="37"/>
    </row>
    <row r="121">
      <c r="P121" s="36"/>
      <c r="Q121" s="36"/>
      <c r="R121" s="37"/>
    </row>
    <row r="122">
      <c r="P122" s="36"/>
      <c r="Q122" s="36"/>
      <c r="R122" s="37"/>
    </row>
  </sheetData>
  <conditionalFormatting sqref="M13:N13">
    <cfRule type="notContainsBlanks" dxfId="0" priority="1">
      <formula>LEN(TRIM(M13))&gt;0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4" max="4" width="31.5"/>
    <col customWidth="1" min="5" max="5" width="7.25"/>
    <col customWidth="1" min="19" max="19" width="6.63"/>
  </cols>
  <sheetData>
    <row r="1">
      <c r="A1" s="38" t="s">
        <v>42</v>
      </c>
      <c r="B1" s="39" t="s">
        <v>43</v>
      </c>
      <c r="C1" s="39" t="s">
        <v>44</v>
      </c>
      <c r="D1" s="40" t="s">
        <v>45</v>
      </c>
      <c r="E1" s="40" t="s">
        <v>25</v>
      </c>
      <c r="F1" s="41" t="s">
        <v>46</v>
      </c>
      <c r="G1" s="41" t="s">
        <v>47</v>
      </c>
      <c r="H1" s="41" t="s">
        <v>48</v>
      </c>
      <c r="I1" s="41" t="s">
        <v>49</v>
      </c>
      <c r="J1" s="41" t="s">
        <v>50</v>
      </c>
      <c r="K1" s="41" t="s">
        <v>51</v>
      </c>
      <c r="L1" s="41" t="s">
        <v>52</v>
      </c>
      <c r="M1" s="42" t="s">
        <v>53</v>
      </c>
      <c r="N1" s="42" t="s">
        <v>54</v>
      </c>
      <c r="O1" s="42" t="s">
        <v>55</v>
      </c>
      <c r="P1" s="42" t="s">
        <v>56</v>
      </c>
      <c r="Q1" s="42" t="s">
        <v>57</v>
      </c>
      <c r="R1" s="42" t="s">
        <v>58</v>
      </c>
      <c r="S1" s="11" t="s">
        <v>59</v>
      </c>
      <c r="T1" s="43"/>
      <c r="U1" s="43" t="s">
        <v>60</v>
      </c>
      <c r="V1" s="44">
        <f>sum(S:S)</f>
        <v>193</v>
      </c>
    </row>
    <row r="2">
      <c r="A2" s="45">
        <v>1.0</v>
      </c>
      <c r="B2" s="1" t="s">
        <v>61</v>
      </c>
      <c r="C2" s="46">
        <v>5.9642212E7</v>
      </c>
      <c r="D2" s="1" t="s">
        <v>62</v>
      </c>
      <c r="E2" s="1" t="s">
        <v>63</v>
      </c>
      <c r="F2" s="1"/>
      <c r="G2" s="1"/>
      <c r="H2" s="1" t="s">
        <v>64</v>
      </c>
      <c r="I2" s="1" t="s">
        <v>64</v>
      </c>
      <c r="J2" s="1" t="s">
        <v>64</v>
      </c>
      <c r="K2" s="1" t="s">
        <v>64</v>
      </c>
      <c r="L2" s="1"/>
      <c r="M2" s="46">
        <v>6.0</v>
      </c>
      <c r="N2" s="1"/>
      <c r="O2" s="46">
        <v>3.0</v>
      </c>
      <c r="P2" s="46">
        <f t="shared" ref="P2:P14" si="1">SUM(M2:O2)</f>
        <v>9</v>
      </c>
      <c r="Q2" s="1"/>
      <c r="R2" s="46">
        <v>0.0</v>
      </c>
      <c r="S2" s="47">
        <f t="shared" ref="S2:S11" si="2">SUM(P2:R2)</f>
        <v>9</v>
      </c>
      <c r="T2" s="28" t="s">
        <v>64</v>
      </c>
    </row>
    <row r="3">
      <c r="A3" s="45">
        <v>2.0</v>
      </c>
      <c r="B3" s="1" t="s">
        <v>61</v>
      </c>
      <c r="C3" s="46">
        <v>5.930295E7</v>
      </c>
      <c r="D3" s="1" t="s">
        <v>65</v>
      </c>
      <c r="E3" s="1" t="s">
        <v>66</v>
      </c>
      <c r="F3" s="1"/>
      <c r="G3" s="1" t="s">
        <v>64</v>
      </c>
      <c r="H3" s="1" t="s">
        <v>64</v>
      </c>
      <c r="I3" s="1"/>
      <c r="J3" s="1" t="s">
        <v>64</v>
      </c>
      <c r="K3" s="1" t="s">
        <v>64</v>
      </c>
      <c r="L3" s="1"/>
      <c r="M3" s="46">
        <v>6.0</v>
      </c>
      <c r="N3" s="1"/>
      <c r="O3" s="46">
        <v>3.0</v>
      </c>
      <c r="P3" s="46">
        <f t="shared" si="1"/>
        <v>9</v>
      </c>
      <c r="Q3" s="1"/>
      <c r="R3" s="46">
        <v>0.0</v>
      </c>
      <c r="S3" s="47">
        <f t="shared" si="2"/>
        <v>9</v>
      </c>
      <c r="T3" s="28" t="s">
        <v>64</v>
      </c>
    </row>
    <row r="4">
      <c r="A4" s="45">
        <v>3.0</v>
      </c>
      <c r="B4" s="1" t="s">
        <v>61</v>
      </c>
      <c r="C4" s="46">
        <v>5.8520444E7</v>
      </c>
      <c r="D4" s="1" t="s">
        <v>67</v>
      </c>
      <c r="E4" s="1" t="s">
        <v>68</v>
      </c>
      <c r="F4" s="1"/>
      <c r="G4" s="1"/>
      <c r="H4" s="1" t="s">
        <v>64</v>
      </c>
      <c r="I4" s="1"/>
      <c r="J4" s="1" t="s">
        <v>64</v>
      </c>
      <c r="K4" s="1" t="s">
        <v>64</v>
      </c>
      <c r="L4" s="1"/>
      <c r="M4" s="46">
        <v>6.0</v>
      </c>
      <c r="N4" s="1"/>
      <c r="O4" s="46">
        <v>2.0</v>
      </c>
      <c r="P4" s="46">
        <f t="shared" si="1"/>
        <v>8</v>
      </c>
      <c r="Q4" s="1"/>
      <c r="R4" s="46">
        <v>0.0</v>
      </c>
      <c r="S4" s="47">
        <f t="shared" si="2"/>
        <v>8</v>
      </c>
      <c r="T4" s="28" t="s">
        <v>64</v>
      </c>
    </row>
    <row r="5">
      <c r="A5" s="45">
        <v>4.0</v>
      </c>
      <c r="B5" s="1" t="s">
        <v>61</v>
      </c>
      <c r="C5" s="46">
        <v>5.9300642E7</v>
      </c>
      <c r="D5" s="1" t="s">
        <v>69</v>
      </c>
      <c r="E5" s="1" t="s">
        <v>70</v>
      </c>
      <c r="F5" s="1"/>
      <c r="G5" s="1"/>
      <c r="H5" s="1" t="s">
        <v>64</v>
      </c>
      <c r="I5" s="1"/>
      <c r="J5" s="1" t="s">
        <v>64</v>
      </c>
      <c r="K5" s="1" t="s">
        <v>64</v>
      </c>
      <c r="L5" s="1"/>
      <c r="M5" s="46">
        <v>6.0</v>
      </c>
      <c r="N5" s="1"/>
      <c r="O5" s="46">
        <v>2.0</v>
      </c>
      <c r="P5" s="46">
        <f t="shared" si="1"/>
        <v>8</v>
      </c>
      <c r="Q5" s="1"/>
      <c r="R5" s="46">
        <v>0.0</v>
      </c>
      <c r="S5" s="47">
        <f t="shared" si="2"/>
        <v>8</v>
      </c>
      <c r="T5" s="28" t="s">
        <v>64</v>
      </c>
    </row>
    <row r="6">
      <c r="A6" s="45">
        <v>5.0</v>
      </c>
      <c r="B6" s="1" t="s">
        <v>61</v>
      </c>
      <c r="C6" s="46">
        <v>5.9304388E7</v>
      </c>
      <c r="D6" s="1" t="s">
        <v>71</v>
      </c>
      <c r="E6" s="1" t="s">
        <v>72</v>
      </c>
      <c r="F6" s="1"/>
      <c r="G6" s="1"/>
      <c r="H6" s="1"/>
      <c r="I6" s="1" t="s">
        <v>64</v>
      </c>
      <c r="J6" s="1"/>
      <c r="K6" s="1" t="s">
        <v>64</v>
      </c>
      <c r="L6" s="1"/>
      <c r="M6" s="46">
        <v>6.0</v>
      </c>
      <c r="N6" s="1"/>
      <c r="O6" s="46">
        <v>1.0</v>
      </c>
      <c r="P6" s="46">
        <f t="shared" si="1"/>
        <v>7</v>
      </c>
      <c r="Q6" s="1"/>
      <c r="R6" s="46">
        <v>0.0</v>
      </c>
      <c r="S6" s="47">
        <f t="shared" si="2"/>
        <v>7</v>
      </c>
      <c r="T6" s="28" t="s">
        <v>64</v>
      </c>
    </row>
    <row r="7">
      <c r="A7" s="45">
        <v>6.0</v>
      </c>
      <c r="B7" s="1" t="s">
        <v>61</v>
      </c>
      <c r="C7" s="48">
        <v>5.7883583E7</v>
      </c>
      <c r="D7" s="1" t="s">
        <v>73</v>
      </c>
      <c r="E7" s="1" t="s">
        <v>63</v>
      </c>
      <c r="F7" s="1"/>
      <c r="G7" s="1"/>
      <c r="H7" s="1"/>
      <c r="I7" s="1"/>
      <c r="J7" s="1"/>
      <c r="K7" s="1" t="s">
        <v>64</v>
      </c>
      <c r="L7" s="1"/>
      <c r="M7" s="46">
        <v>6.0</v>
      </c>
      <c r="N7" s="1"/>
      <c r="O7" s="46">
        <v>0.0</v>
      </c>
      <c r="P7" s="46">
        <f t="shared" si="1"/>
        <v>6</v>
      </c>
      <c r="Q7" s="1"/>
      <c r="R7" s="45">
        <v>0.0</v>
      </c>
      <c r="S7" s="47">
        <f t="shared" si="2"/>
        <v>6</v>
      </c>
      <c r="T7" s="28" t="s">
        <v>64</v>
      </c>
    </row>
    <row r="8">
      <c r="A8" s="45">
        <v>7.0</v>
      </c>
      <c r="B8" s="1" t="s">
        <v>61</v>
      </c>
      <c r="C8" s="46">
        <v>5.859011E7</v>
      </c>
      <c r="D8" s="1" t="s">
        <v>74</v>
      </c>
      <c r="E8" s="1" t="s">
        <v>75</v>
      </c>
      <c r="F8" s="1"/>
      <c r="G8" s="1"/>
      <c r="H8" s="1"/>
      <c r="I8" s="1"/>
      <c r="J8" s="1"/>
      <c r="K8" s="1" t="s">
        <v>64</v>
      </c>
      <c r="L8" s="1"/>
      <c r="M8" s="46">
        <v>6.0</v>
      </c>
      <c r="N8" s="1"/>
      <c r="O8" s="46">
        <v>0.0</v>
      </c>
      <c r="P8" s="46">
        <f t="shared" si="1"/>
        <v>6</v>
      </c>
      <c r="Q8" s="1"/>
      <c r="R8" s="46">
        <v>0.0</v>
      </c>
      <c r="S8" s="47">
        <f t="shared" si="2"/>
        <v>6</v>
      </c>
      <c r="T8" s="28" t="s">
        <v>64</v>
      </c>
    </row>
    <row r="9">
      <c r="A9" s="45">
        <v>8.0</v>
      </c>
      <c r="B9" s="1" t="s">
        <v>61</v>
      </c>
      <c r="C9" s="46">
        <v>5.8761018E7</v>
      </c>
      <c r="D9" s="1" t="s">
        <v>76</v>
      </c>
      <c r="E9" s="1" t="s">
        <v>75</v>
      </c>
      <c r="F9" s="1"/>
      <c r="G9" s="1"/>
      <c r="H9" s="1"/>
      <c r="I9" s="1"/>
      <c r="J9" s="1"/>
      <c r="K9" s="1" t="s">
        <v>64</v>
      </c>
      <c r="L9" s="1"/>
      <c r="M9" s="46">
        <v>6.0</v>
      </c>
      <c r="N9" s="1"/>
      <c r="O9" s="46">
        <v>0.0</v>
      </c>
      <c r="P9" s="46">
        <f t="shared" si="1"/>
        <v>6</v>
      </c>
      <c r="Q9" s="1"/>
      <c r="R9" s="46">
        <v>0.0</v>
      </c>
      <c r="S9" s="47">
        <f t="shared" si="2"/>
        <v>6</v>
      </c>
      <c r="T9" s="28" t="s">
        <v>64</v>
      </c>
    </row>
    <row r="10">
      <c r="A10" s="45">
        <v>9.0</v>
      </c>
      <c r="B10" s="1" t="s">
        <v>61</v>
      </c>
      <c r="C10" s="46">
        <v>5.7853867E7</v>
      </c>
      <c r="D10" s="1" t="s">
        <v>77</v>
      </c>
      <c r="E10" s="1" t="s">
        <v>78</v>
      </c>
      <c r="F10" s="1"/>
      <c r="G10" s="1"/>
      <c r="H10" s="1"/>
      <c r="I10" s="1"/>
      <c r="J10" s="1"/>
      <c r="K10" s="1" t="s">
        <v>64</v>
      </c>
      <c r="L10" s="1"/>
      <c r="M10" s="46">
        <v>6.0</v>
      </c>
      <c r="N10" s="1"/>
      <c r="O10" s="46">
        <v>0.0</v>
      </c>
      <c r="P10" s="46">
        <f t="shared" si="1"/>
        <v>6</v>
      </c>
      <c r="Q10" s="1"/>
      <c r="R10" s="46">
        <v>0.0</v>
      </c>
      <c r="S10" s="47">
        <f t="shared" si="2"/>
        <v>6</v>
      </c>
      <c r="T10" s="28" t="s">
        <v>64</v>
      </c>
    </row>
    <row r="11">
      <c r="A11" s="45">
        <v>10.0</v>
      </c>
      <c r="B11" s="1" t="s">
        <v>61</v>
      </c>
      <c r="C11" s="46">
        <v>5.9283561E7</v>
      </c>
      <c r="D11" s="1" t="s">
        <v>79</v>
      </c>
      <c r="E11" s="1" t="s">
        <v>80</v>
      </c>
      <c r="F11" s="1"/>
      <c r="G11" s="1"/>
      <c r="H11" s="1"/>
      <c r="I11" s="1"/>
      <c r="J11" s="1"/>
      <c r="K11" s="1"/>
      <c r="L11" s="1"/>
      <c r="M11" s="46">
        <v>6.0</v>
      </c>
      <c r="N11" s="1"/>
      <c r="O11" s="46">
        <v>0.0</v>
      </c>
      <c r="P11" s="46">
        <f t="shared" si="1"/>
        <v>6</v>
      </c>
      <c r="Q11" s="1"/>
      <c r="R11" s="46">
        <v>0.0</v>
      </c>
      <c r="S11" s="47">
        <f t="shared" si="2"/>
        <v>6</v>
      </c>
      <c r="T11" s="28" t="s">
        <v>64</v>
      </c>
    </row>
    <row r="12">
      <c r="A12" s="1"/>
      <c r="B12" s="1" t="s">
        <v>81</v>
      </c>
      <c r="C12" s="46">
        <v>5.8312262E7</v>
      </c>
      <c r="D12" s="1" t="s">
        <v>82</v>
      </c>
      <c r="E12" s="1" t="s">
        <v>83</v>
      </c>
      <c r="F12" s="1"/>
      <c r="G12" s="1"/>
      <c r="H12" s="1"/>
      <c r="I12" s="1"/>
      <c r="J12" s="1"/>
      <c r="K12" s="1" t="s">
        <v>64</v>
      </c>
      <c r="L12" s="1"/>
      <c r="M12" s="46">
        <v>0.0</v>
      </c>
      <c r="N12" s="1"/>
      <c r="O12" s="46">
        <v>0.0</v>
      </c>
      <c r="P12" s="46">
        <f t="shared" si="1"/>
        <v>0</v>
      </c>
      <c r="Q12" s="1"/>
      <c r="R12" s="46">
        <v>3.0</v>
      </c>
      <c r="S12" s="47">
        <v>3.0</v>
      </c>
      <c r="T12" s="28" t="s">
        <v>64</v>
      </c>
    </row>
    <row r="13">
      <c r="A13" s="1"/>
      <c r="B13" s="1" t="s">
        <v>84</v>
      </c>
      <c r="C13" s="46">
        <v>5.9303299E7</v>
      </c>
      <c r="D13" s="1" t="s">
        <v>85</v>
      </c>
      <c r="E13" s="1" t="s">
        <v>86</v>
      </c>
      <c r="F13" s="1"/>
      <c r="G13" s="1"/>
      <c r="H13" s="1"/>
      <c r="I13" s="1"/>
      <c r="J13" s="1" t="s">
        <v>64</v>
      </c>
      <c r="K13" s="1"/>
      <c r="L13" s="1"/>
      <c r="M13" s="1"/>
      <c r="N13" s="1"/>
      <c r="O13" s="46">
        <v>1.0</v>
      </c>
      <c r="P13" s="46">
        <f t="shared" si="1"/>
        <v>1</v>
      </c>
      <c r="Q13" s="1"/>
      <c r="R13" s="46">
        <v>0.0</v>
      </c>
      <c r="S13" s="47">
        <f t="shared" ref="S13:S14" si="3">SUM(P13:R13)</f>
        <v>1</v>
      </c>
      <c r="T13" s="28" t="s">
        <v>64</v>
      </c>
    </row>
    <row r="14">
      <c r="A14" s="1"/>
      <c r="B14" s="1" t="s">
        <v>84</v>
      </c>
      <c r="C14" s="46">
        <v>5.9301282E7</v>
      </c>
      <c r="D14" s="1" t="s">
        <v>87</v>
      </c>
      <c r="E14" s="1" t="s">
        <v>88</v>
      </c>
      <c r="F14" s="1"/>
      <c r="G14" s="1"/>
      <c r="H14" s="1"/>
      <c r="I14" s="1"/>
      <c r="J14" s="1" t="s">
        <v>64</v>
      </c>
      <c r="K14" s="1"/>
      <c r="L14" s="1"/>
      <c r="M14" s="1"/>
      <c r="N14" s="1"/>
      <c r="O14" s="46">
        <v>1.0</v>
      </c>
      <c r="P14" s="46">
        <f t="shared" si="1"/>
        <v>1</v>
      </c>
      <c r="Q14" s="1"/>
      <c r="R14" s="46">
        <v>0.0</v>
      </c>
      <c r="S14" s="47">
        <f t="shared" si="3"/>
        <v>1</v>
      </c>
      <c r="T14" s="28" t="s">
        <v>64</v>
      </c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s="38" t="s">
        <v>42</v>
      </c>
      <c r="B17" s="39" t="s">
        <v>89</v>
      </c>
      <c r="C17" s="39" t="s">
        <v>44</v>
      </c>
      <c r="D17" s="40" t="s">
        <v>45</v>
      </c>
      <c r="E17" s="40" t="s">
        <v>25</v>
      </c>
      <c r="F17" s="41" t="s">
        <v>46</v>
      </c>
      <c r="G17" s="41" t="s">
        <v>47</v>
      </c>
      <c r="H17" s="41" t="s">
        <v>48</v>
      </c>
      <c r="I17" s="41" t="s">
        <v>49</v>
      </c>
      <c r="J17" s="41" t="s">
        <v>50</v>
      </c>
      <c r="K17" s="41" t="s">
        <v>51</v>
      </c>
      <c r="L17" s="41" t="s">
        <v>52</v>
      </c>
      <c r="M17" s="42" t="s">
        <v>53</v>
      </c>
      <c r="N17" s="42" t="s">
        <v>54</v>
      </c>
      <c r="O17" s="42" t="s">
        <v>55</v>
      </c>
      <c r="P17" s="42" t="s">
        <v>56</v>
      </c>
      <c r="Q17" s="42" t="s">
        <v>57</v>
      </c>
      <c r="R17" s="42" t="s">
        <v>58</v>
      </c>
      <c r="S17" s="11" t="s">
        <v>59</v>
      </c>
    </row>
    <row r="18">
      <c r="A18" s="45">
        <v>1.0</v>
      </c>
      <c r="B18" s="1" t="s">
        <v>61</v>
      </c>
      <c r="C18" s="46">
        <v>5.858385E7</v>
      </c>
      <c r="D18" s="1" t="s">
        <v>90</v>
      </c>
      <c r="E18" s="1" t="s">
        <v>91</v>
      </c>
      <c r="F18" s="1"/>
      <c r="G18" s="1" t="s">
        <v>64</v>
      </c>
      <c r="H18" s="1" t="s">
        <v>64</v>
      </c>
      <c r="I18" s="1" t="s">
        <v>64</v>
      </c>
      <c r="J18" s="1" t="s">
        <v>64</v>
      </c>
      <c r="K18" s="1" t="s">
        <v>64</v>
      </c>
      <c r="L18" s="1"/>
      <c r="M18" s="46">
        <v>6.0</v>
      </c>
      <c r="N18" s="1"/>
      <c r="O18" s="46">
        <v>3.0</v>
      </c>
      <c r="P18" s="46">
        <f t="shared" ref="P18:P37" si="4">SUM(M18:O18)</f>
        <v>9</v>
      </c>
      <c r="Q18" s="1"/>
      <c r="R18" s="1"/>
      <c r="S18" s="47">
        <f t="shared" ref="S18:S37" si="5">SUM(P18:R18)</f>
        <v>9</v>
      </c>
    </row>
    <row r="19">
      <c r="A19" s="45">
        <v>2.0</v>
      </c>
      <c r="B19" s="1" t="s">
        <v>61</v>
      </c>
      <c r="C19" s="46">
        <v>5.8575688E7</v>
      </c>
      <c r="D19" s="1" t="s">
        <v>92</v>
      </c>
      <c r="E19" s="1" t="s">
        <v>93</v>
      </c>
      <c r="F19" s="1"/>
      <c r="G19" s="1"/>
      <c r="H19" s="1" t="s">
        <v>64</v>
      </c>
      <c r="I19" s="1" t="s">
        <v>64</v>
      </c>
      <c r="J19" s="1" t="s">
        <v>64</v>
      </c>
      <c r="K19" s="1" t="s">
        <v>64</v>
      </c>
      <c r="L19" s="1"/>
      <c r="M19" s="46">
        <v>6.0</v>
      </c>
      <c r="N19" s="1"/>
      <c r="O19" s="46">
        <v>2.0</v>
      </c>
      <c r="P19" s="46">
        <f t="shared" si="4"/>
        <v>8</v>
      </c>
      <c r="Q19" s="1"/>
      <c r="R19" s="1"/>
      <c r="S19" s="47">
        <f t="shared" si="5"/>
        <v>8</v>
      </c>
    </row>
    <row r="20">
      <c r="A20" s="45">
        <v>3.0</v>
      </c>
      <c r="B20" s="1" t="s">
        <v>61</v>
      </c>
      <c r="C20" s="46">
        <v>5.852165E7</v>
      </c>
      <c r="D20" s="1" t="s">
        <v>94</v>
      </c>
      <c r="E20" s="1" t="s">
        <v>95</v>
      </c>
      <c r="F20" s="1"/>
      <c r="G20" s="1" t="s">
        <v>64</v>
      </c>
      <c r="H20" s="1"/>
      <c r="I20" s="1" t="s">
        <v>64</v>
      </c>
      <c r="J20" s="1" t="s">
        <v>64</v>
      </c>
      <c r="K20" s="1" t="s">
        <v>64</v>
      </c>
      <c r="L20" s="1"/>
      <c r="M20" s="46">
        <v>6.0</v>
      </c>
      <c r="N20" s="1"/>
      <c r="O20" s="46">
        <v>2.0</v>
      </c>
      <c r="P20" s="46">
        <f t="shared" si="4"/>
        <v>8</v>
      </c>
      <c r="Q20" s="1"/>
      <c r="R20" s="1"/>
      <c r="S20" s="47">
        <f t="shared" si="5"/>
        <v>8</v>
      </c>
    </row>
    <row r="21">
      <c r="A21" s="45">
        <v>4.0</v>
      </c>
      <c r="B21" s="1" t="s">
        <v>61</v>
      </c>
      <c r="C21" s="46">
        <v>5.7942409E7</v>
      </c>
      <c r="D21" s="1" t="s">
        <v>96</v>
      </c>
      <c r="E21" s="1" t="s">
        <v>97</v>
      </c>
      <c r="F21" s="1"/>
      <c r="G21" s="1"/>
      <c r="H21" s="1" t="s">
        <v>64</v>
      </c>
      <c r="I21" s="1" t="s">
        <v>64</v>
      </c>
      <c r="J21" s="1" t="s">
        <v>64</v>
      </c>
      <c r="K21" s="1" t="s">
        <v>64</v>
      </c>
      <c r="L21" s="1"/>
      <c r="M21" s="46">
        <v>6.0</v>
      </c>
      <c r="N21" s="1"/>
      <c r="O21" s="46">
        <v>2.0</v>
      </c>
      <c r="P21" s="46">
        <f t="shared" si="4"/>
        <v>8</v>
      </c>
      <c r="Q21" s="1"/>
      <c r="R21" s="1"/>
      <c r="S21" s="47">
        <f t="shared" si="5"/>
        <v>8</v>
      </c>
    </row>
    <row r="22">
      <c r="A22" s="45">
        <v>5.0</v>
      </c>
      <c r="B22" s="1" t="s">
        <v>61</v>
      </c>
      <c r="C22" s="46">
        <v>5.879469E7</v>
      </c>
      <c r="D22" s="1" t="s">
        <v>98</v>
      </c>
      <c r="E22" s="1" t="s">
        <v>99</v>
      </c>
      <c r="F22" s="1"/>
      <c r="G22" s="1"/>
      <c r="H22" s="1" t="s">
        <v>64</v>
      </c>
      <c r="I22" s="1" t="s">
        <v>64</v>
      </c>
      <c r="J22" s="1" t="s">
        <v>64</v>
      </c>
      <c r="K22" s="1" t="s">
        <v>64</v>
      </c>
      <c r="L22" s="1"/>
      <c r="M22" s="46">
        <v>6.0</v>
      </c>
      <c r="N22" s="1"/>
      <c r="O22" s="46">
        <v>2.0</v>
      </c>
      <c r="P22" s="46">
        <f t="shared" si="4"/>
        <v>8</v>
      </c>
      <c r="Q22" s="1"/>
      <c r="R22" s="1"/>
      <c r="S22" s="47">
        <f t="shared" si="5"/>
        <v>8</v>
      </c>
    </row>
    <row r="23">
      <c r="A23" s="45">
        <v>6.0</v>
      </c>
      <c r="B23" s="1" t="s">
        <v>61</v>
      </c>
      <c r="C23" s="46">
        <v>5.8786756E7</v>
      </c>
      <c r="D23" s="1" t="s">
        <v>100</v>
      </c>
      <c r="E23" s="1" t="s">
        <v>101</v>
      </c>
      <c r="F23" s="1"/>
      <c r="G23" s="1"/>
      <c r="H23" s="1"/>
      <c r="I23" s="1" t="s">
        <v>64</v>
      </c>
      <c r="J23" s="1" t="s">
        <v>64</v>
      </c>
      <c r="K23" s="1" t="s">
        <v>64</v>
      </c>
      <c r="L23" s="1"/>
      <c r="M23" s="46">
        <v>6.0</v>
      </c>
      <c r="N23" s="1"/>
      <c r="O23" s="46">
        <v>2.0</v>
      </c>
      <c r="P23" s="46">
        <f t="shared" si="4"/>
        <v>8</v>
      </c>
      <c r="Q23" s="1"/>
      <c r="R23" s="1"/>
      <c r="S23" s="47">
        <f t="shared" si="5"/>
        <v>8</v>
      </c>
    </row>
    <row r="24">
      <c r="A24" s="45">
        <v>7.0</v>
      </c>
      <c r="B24" s="1" t="s">
        <v>61</v>
      </c>
      <c r="C24" s="46">
        <v>5.8936204E7</v>
      </c>
      <c r="D24" s="1" t="s">
        <v>102</v>
      </c>
      <c r="E24" s="1" t="s">
        <v>103</v>
      </c>
      <c r="F24" s="1"/>
      <c r="G24" s="1"/>
      <c r="H24" s="1"/>
      <c r="I24" s="1" t="s">
        <v>64</v>
      </c>
      <c r="J24" s="1" t="s">
        <v>64</v>
      </c>
      <c r="K24" s="1" t="s">
        <v>64</v>
      </c>
      <c r="L24" s="1"/>
      <c r="M24" s="46">
        <v>6.0</v>
      </c>
      <c r="N24" s="1"/>
      <c r="O24" s="46">
        <v>2.0</v>
      </c>
      <c r="P24" s="46">
        <f t="shared" si="4"/>
        <v>8</v>
      </c>
      <c r="Q24" s="1"/>
      <c r="R24" s="1"/>
      <c r="S24" s="47">
        <f t="shared" si="5"/>
        <v>8</v>
      </c>
    </row>
    <row r="25">
      <c r="A25" s="45">
        <v>8.0</v>
      </c>
      <c r="B25" s="1" t="s">
        <v>61</v>
      </c>
      <c r="C25" s="49">
        <v>5.8665332E7</v>
      </c>
      <c r="D25" s="1" t="s">
        <v>104</v>
      </c>
      <c r="E25" s="1" t="s">
        <v>103</v>
      </c>
      <c r="F25" s="1"/>
      <c r="G25" s="1"/>
      <c r="H25" s="1"/>
      <c r="I25" s="1" t="s">
        <v>64</v>
      </c>
      <c r="J25" s="1" t="s">
        <v>64</v>
      </c>
      <c r="K25" s="1" t="s">
        <v>64</v>
      </c>
      <c r="L25" s="1"/>
      <c r="M25" s="46">
        <v>6.0</v>
      </c>
      <c r="N25" s="1"/>
      <c r="O25" s="46">
        <v>2.0</v>
      </c>
      <c r="P25" s="46">
        <f t="shared" si="4"/>
        <v>8</v>
      </c>
      <c r="Q25" s="1"/>
      <c r="R25" s="1"/>
      <c r="S25" s="47">
        <f t="shared" si="5"/>
        <v>8</v>
      </c>
    </row>
    <row r="26">
      <c r="A26" s="45">
        <v>9.0</v>
      </c>
      <c r="B26" s="1" t="s">
        <v>61</v>
      </c>
      <c r="C26" s="46">
        <v>5.8607629E7</v>
      </c>
      <c r="D26" s="1" t="s">
        <v>105</v>
      </c>
      <c r="E26" s="1" t="s">
        <v>106</v>
      </c>
      <c r="F26" s="1"/>
      <c r="G26" s="1" t="s">
        <v>64</v>
      </c>
      <c r="H26" s="1"/>
      <c r="I26" s="1"/>
      <c r="J26" s="1" t="s">
        <v>64</v>
      </c>
      <c r="K26" s="1" t="s">
        <v>64</v>
      </c>
      <c r="L26" s="1"/>
      <c r="M26" s="46">
        <v>6.0</v>
      </c>
      <c r="N26" s="1"/>
      <c r="O26" s="46">
        <v>1.0</v>
      </c>
      <c r="P26" s="46">
        <f t="shared" si="4"/>
        <v>7</v>
      </c>
      <c r="Q26" s="1"/>
      <c r="R26" s="1"/>
      <c r="S26" s="47">
        <f t="shared" si="5"/>
        <v>7</v>
      </c>
    </row>
    <row r="27">
      <c r="A27" s="45">
        <v>10.0</v>
      </c>
      <c r="B27" s="1" t="s">
        <v>61</v>
      </c>
      <c r="C27" s="46">
        <v>5.7794549E7</v>
      </c>
      <c r="D27" s="1" t="s">
        <v>107</v>
      </c>
      <c r="E27" s="50" t="s">
        <v>108</v>
      </c>
      <c r="F27" s="1"/>
      <c r="G27" s="1"/>
      <c r="H27" s="1"/>
      <c r="I27" s="1" t="s">
        <v>64</v>
      </c>
      <c r="J27" s="1"/>
      <c r="K27" s="1" t="s">
        <v>64</v>
      </c>
      <c r="L27" s="1"/>
      <c r="M27" s="46">
        <v>6.0</v>
      </c>
      <c r="N27" s="1"/>
      <c r="O27" s="46">
        <v>1.0</v>
      </c>
      <c r="P27" s="46">
        <f t="shared" si="4"/>
        <v>7</v>
      </c>
      <c r="Q27" s="1"/>
      <c r="R27" s="1"/>
      <c r="S27" s="47">
        <f t="shared" si="5"/>
        <v>7</v>
      </c>
    </row>
    <row r="28">
      <c r="A28" s="1"/>
      <c r="B28" s="1" t="s">
        <v>109</v>
      </c>
      <c r="C28" s="46">
        <v>5.8497196E7</v>
      </c>
      <c r="D28" s="1" t="s">
        <v>34</v>
      </c>
      <c r="E28" s="1" t="s">
        <v>91</v>
      </c>
      <c r="F28" s="1"/>
      <c r="G28" s="1" t="s">
        <v>64</v>
      </c>
      <c r="H28" s="1" t="s">
        <v>64</v>
      </c>
      <c r="I28" s="1" t="s">
        <v>64</v>
      </c>
      <c r="J28" s="1" t="s">
        <v>64</v>
      </c>
      <c r="K28" s="1" t="s">
        <v>64</v>
      </c>
      <c r="L28" s="1"/>
      <c r="M28" s="46">
        <v>2.0</v>
      </c>
      <c r="N28" s="1"/>
      <c r="O28" s="46">
        <v>3.0</v>
      </c>
      <c r="P28" s="46">
        <f t="shared" si="4"/>
        <v>5</v>
      </c>
      <c r="Q28" s="1"/>
      <c r="R28" s="1"/>
      <c r="S28" s="47">
        <f t="shared" si="5"/>
        <v>5</v>
      </c>
    </row>
    <row r="29">
      <c r="A29" s="1"/>
      <c r="B29" s="1" t="s">
        <v>109</v>
      </c>
      <c r="C29" s="46">
        <v>5.9304929E7</v>
      </c>
      <c r="D29" s="1" t="s">
        <v>110</v>
      </c>
      <c r="E29" s="1" t="s">
        <v>99</v>
      </c>
      <c r="F29" s="1"/>
      <c r="G29" s="1"/>
      <c r="H29" s="1" t="s">
        <v>64</v>
      </c>
      <c r="I29" s="1" t="s">
        <v>64</v>
      </c>
      <c r="J29" s="1" t="s">
        <v>64</v>
      </c>
      <c r="K29" s="1" t="s">
        <v>64</v>
      </c>
      <c r="L29" s="1"/>
      <c r="M29" s="46">
        <v>2.0</v>
      </c>
      <c r="N29" s="1"/>
      <c r="O29" s="46">
        <v>2.0</v>
      </c>
      <c r="P29" s="46">
        <f t="shared" si="4"/>
        <v>4</v>
      </c>
      <c r="Q29" s="1"/>
      <c r="R29" s="1"/>
      <c r="S29" s="47">
        <f t="shared" si="5"/>
        <v>4</v>
      </c>
    </row>
    <row r="30">
      <c r="A30" s="1"/>
      <c r="B30" s="1" t="s">
        <v>109</v>
      </c>
      <c r="C30" s="48">
        <v>5.8521705E7</v>
      </c>
      <c r="D30" s="1" t="s">
        <v>111</v>
      </c>
      <c r="E30" s="1" t="s">
        <v>112</v>
      </c>
      <c r="F30" s="1"/>
      <c r="G30" s="1"/>
      <c r="H30" s="1"/>
      <c r="I30" s="1"/>
      <c r="J30" s="1" t="s">
        <v>64</v>
      </c>
      <c r="K30" s="1" t="s">
        <v>64</v>
      </c>
      <c r="L30" s="1"/>
      <c r="M30" s="46">
        <v>2.0</v>
      </c>
      <c r="N30" s="1"/>
      <c r="O30" s="46">
        <v>1.0</v>
      </c>
      <c r="P30" s="46">
        <f t="shared" si="4"/>
        <v>3</v>
      </c>
      <c r="Q30" s="1"/>
      <c r="R30" s="1"/>
      <c r="S30" s="47">
        <f t="shared" si="5"/>
        <v>3</v>
      </c>
    </row>
    <row r="31">
      <c r="A31" s="1"/>
      <c r="B31" s="1" t="s">
        <v>109</v>
      </c>
      <c r="C31" s="48">
        <v>5.9290158E7</v>
      </c>
      <c r="D31" s="51" t="s">
        <v>113</v>
      </c>
      <c r="E31" s="50" t="s">
        <v>114</v>
      </c>
      <c r="F31" s="1"/>
      <c r="G31" s="1"/>
      <c r="H31" s="1"/>
      <c r="I31" s="1"/>
      <c r="J31" s="1"/>
      <c r="K31" s="1" t="s">
        <v>64</v>
      </c>
      <c r="L31" s="1"/>
      <c r="M31" s="46">
        <v>2.0</v>
      </c>
      <c r="N31" s="1"/>
      <c r="O31" s="46">
        <v>1.0</v>
      </c>
      <c r="P31" s="46">
        <f t="shared" si="4"/>
        <v>3</v>
      </c>
      <c r="Q31" s="1"/>
      <c r="R31" s="1"/>
      <c r="S31" s="47">
        <f t="shared" si="5"/>
        <v>3</v>
      </c>
    </row>
    <row r="32">
      <c r="A32" s="52"/>
      <c r="B32" s="52" t="s">
        <v>109</v>
      </c>
      <c r="C32" s="53">
        <v>5.865425E7</v>
      </c>
      <c r="D32" s="54" t="s">
        <v>30</v>
      </c>
      <c r="E32" s="52" t="s">
        <v>101</v>
      </c>
      <c r="F32" s="52"/>
      <c r="G32" s="52"/>
      <c r="H32" s="52"/>
      <c r="I32" s="52" t="s">
        <v>64</v>
      </c>
      <c r="J32" s="52" t="s">
        <v>64</v>
      </c>
      <c r="K32" s="52" t="s">
        <v>64</v>
      </c>
      <c r="L32" s="52"/>
      <c r="M32" s="55">
        <v>2.0</v>
      </c>
      <c r="N32" s="52"/>
      <c r="O32" s="53">
        <v>2.0</v>
      </c>
      <c r="P32" s="53">
        <f t="shared" si="4"/>
        <v>4</v>
      </c>
      <c r="Q32" s="52"/>
      <c r="R32" s="52"/>
      <c r="S32" s="47">
        <f t="shared" si="5"/>
        <v>4</v>
      </c>
    </row>
    <row r="33">
      <c r="A33" s="1"/>
      <c r="B33" s="1" t="s">
        <v>109</v>
      </c>
      <c r="C33" s="46">
        <v>6.017575E7</v>
      </c>
      <c r="D33" s="1" t="s">
        <v>115</v>
      </c>
      <c r="E33" s="1" t="s">
        <v>116</v>
      </c>
      <c r="F33" s="1"/>
      <c r="G33" s="1"/>
      <c r="H33" s="1" t="s">
        <v>64</v>
      </c>
      <c r="I33" s="1"/>
      <c r="J33" s="1"/>
      <c r="K33" s="1"/>
      <c r="L33" s="1"/>
      <c r="M33" s="46">
        <v>0.0</v>
      </c>
      <c r="N33" s="1"/>
      <c r="O33" s="46">
        <v>1.0</v>
      </c>
      <c r="P33" s="46">
        <f t="shared" si="4"/>
        <v>1</v>
      </c>
      <c r="Q33" s="1"/>
      <c r="R33" s="1"/>
      <c r="S33" s="47">
        <f t="shared" si="5"/>
        <v>1</v>
      </c>
    </row>
    <row r="34">
      <c r="A34" s="1"/>
      <c r="B34" s="1" t="s">
        <v>109</v>
      </c>
      <c r="C34" s="46">
        <v>5.9303552E7</v>
      </c>
      <c r="D34" s="1" t="s">
        <v>117</v>
      </c>
      <c r="E34" s="50" t="s">
        <v>118</v>
      </c>
      <c r="F34" s="1"/>
      <c r="G34" s="1"/>
      <c r="H34" s="1" t="s">
        <v>64</v>
      </c>
      <c r="I34" s="1"/>
      <c r="J34" s="1"/>
      <c r="K34" s="1"/>
      <c r="L34" s="1"/>
      <c r="M34" s="46">
        <v>0.0</v>
      </c>
      <c r="N34" s="1"/>
      <c r="O34" s="46">
        <v>1.0</v>
      </c>
      <c r="P34" s="46">
        <f t="shared" si="4"/>
        <v>1</v>
      </c>
      <c r="Q34" s="1"/>
      <c r="R34" s="1"/>
      <c r="S34" s="47">
        <f t="shared" si="5"/>
        <v>1</v>
      </c>
    </row>
    <row r="35">
      <c r="A35" s="1"/>
      <c r="B35" s="1" t="s">
        <v>81</v>
      </c>
      <c r="C35" s="1">
        <v>5.8521742E7</v>
      </c>
      <c r="D35" s="1" t="s">
        <v>119</v>
      </c>
      <c r="E35" s="1" t="s">
        <v>95</v>
      </c>
      <c r="F35" s="1"/>
      <c r="G35" s="1"/>
      <c r="H35" s="1"/>
      <c r="I35" s="1" t="s">
        <v>64</v>
      </c>
      <c r="J35" s="1" t="s">
        <v>64</v>
      </c>
      <c r="K35" s="1" t="s">
        <v>64</v>
      </c>
      <c r="L35" s="1"/>
      <c r="M35" s="1">
        <v>0.0</v>
      </c>
      <c r="N35" s="1"/>
      <c r="O35" s="1">
        <v>2.0</v>
      </c>
      <c r="P35" s="1">
        <f t="shared" si="4"/>
        <v>2</v>
      </c>
      <c r="Q35" s="1"/>
      <c r="R35" s="1">
        <v>2.0</v>
      </c>
      <c r="S35" s="56">
        <f t="shared" si="5"/>
        <v>4</v>
      </c>
    </row>
    <row r="36">
      <c r="A36" s="1"/>
      <c r="B36" s="1" t="s">
        <v>81</v>
      </c>
      <c r="C36" s="46">
        <v>6.0176248E7</v>
      </c>
      <c r="D36" s="1" t="s">
        <v>120</v>
      </c>
      <c r="E36" s="1" t="s">
        <v>121</v>
      </c>
      <c r="F36" s="1"/>
      <c r="G36" s="1"/>
      <c r="H36" s="1" t="s">
        <v>64</v>
      </c>
      <c r="I36" s="1"/>
      <c r="J36" s="1"/>
      <c r="K36" s="1"/>
      <c r="L36" s="1"/>
      <c r="M36" s="46">
        <v>0.0</v>
      </c>
      <c r="N36" s="1"/>
      <c r="O36" s="46">
        <v>1.0</v>
      </c>
      <c r="P36" s="46">
        <f t="shared" si="4"/>
        <v>1</v>
      </c>
      <c r="Q36" s="1"/>
      <c r="R36" s="46">
        <v>2.0</v>
      </c>
      <c r="S36" s="47">
        <f t="shared" si="5"/>
        <v>3</v>
      </c>
    </row>
    <row r="37">
      <c r="A37" s="1"/>
      <c r="B37" s="1" t="s">
        <v>81</v>
      </c>
      <c r="C37" s="46">
        <v>5.930148E7</v>
      </c>
      <c r="D37" s="1" t="s">
        <v>122</v>
      </c>
      <c r="E37" s="1" t="s">
        <v>123</v>
      </c>
      <c r="F37" s="1"/>
      <c r="G37" s="1" t="s">
        <v>64</v>
      </c>
      <c r="H37" s="1"/>
      <c r="I37" s="1"/>
      <c r="J37" s="1"/>
      <c r="K37" s="1" t="s">
        <v>64</v>
      </c>
      <c r="L37" s="1"/>
      <c r="M37" s="46">
        <v>0.0</v>
      </c>
      <c r="N37" s="1"/>
      <c r="O37" s="46">
        <v>1.0</v>
      </c>
      <c r="P37" s="46">
        <f t="shared" si="4"/>
        <v>1</v>
      </c>
      <c r="Q37" s="1"/>
      <c r="R37" s="46">
        <v>2.0</v>
      </c>
      <c r="S37" s="47">
        <f t="shared" si="5"/>
        <v>3</v>
      </c>
      <c r="T37" s="28" t="s">
        <v>64</v>
      </c>
    </row>
    <row r="39">
      <c r="A39" s="57"/>
      <c r="B39" s="57">
        <v>21.0</v>
      </c>
      <c r="C39" s="58">
        <v>6.01698E7</v>
      </c>
      <c r="D39" s="59" t="s">
        <v>124</v>
      </c>
      <c r="E39" s="59" t="s">
        <v>121</v>
      </c>
      <c r="F39" s="59"/>
      <c r="G39" s="59"/>
      <c r="H39" s="59"/>
      <c r="I39" s="59"/>
      <c r="J39" s="59"/>
      <c r="K39" s="59"/>
      <c r="L39" s="59"/>
      <c r="M39" s="1"/>
      <c r="N39" s="1"/>
      <c r="O39" s="1"/>
      <c r="P39" s="1"/>
      <c r="Q39" s="1"/>
      <c r="R39" s="1"/>
      <c r="S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s="60"/>
      <c r="B41" s="60"/>
      <c r="C41" s="60"/>
      <c r="D41" s="1"/>
      <c r="E41" s="1"/>
      <c r="F41" s="1"/>
      <c r="G41" s="1"/>
      <c r="H41" s="1"/>
      <c r="I41" s="1"/>
      <c r="J41" s="1"/>
      <c r="K41" s="60"/>
      <c r="L41" s="60"/>
      <c r="M41" s="60"/>
      <c r="N41" s="60"/>
      <c r="O41" s="60"/>
      <c r="P41" s="60"/>
      <c r="Q41" s="60"/>
      <c r="R41" s="1"/>
      <c r="S41" s="1"/>
    </row>
    <row r="42">
      <c r="C42" s="40" t="s">
        <v>45</v>
      </c>
      <c r="D42" s="40" t="s">
        <v>25</v>
      </c>
      <c r="E42" s="41" t="s">
        <v>46</v>
      </c>
      <c r="G42" s="41" t="s">
        <v>47</v>
      </c>
      <c r="H42" s="41" t="s">
        <v>48</v>
      </c>
      <c r="I42" s="41" t="s">
        <v>49</v>
      </c>
      <c r="J42" s="41" t="s">
        <v>50</v>
      </c>
      <c r="K42" s="41" t="s">
        <v>51</v>
      </c>
      <c r="L42" s="41" t="s">
        <v>52</v>
      </c>
      <c r="M42" s="42" t="s">
        <v>53</v>
      </c>
      <c r="N42" s="42" t="s">
        <v>54</v>
      </c>
      <c r="O42" s="42" t="s">
        <v>55</v>
      </c>
      <c r="P42" s="42" t="s">
        <v>56</v>
      </c>
      <c r="Q42" s="42" t="s">
        <v>57</v>
      </c>
      <c r="R42" s="42" t="s">
        <v>58</v>
      </c>
      <c r="S42" s="11" t="s">
        <v>59</v>
      </c>
    </row>
    <row r="43">
      <c r="A43" s="41"/>
      <c r="B43" s="41" t="s">
        <v>125</v>
      </c>
      <c r="C43" s="61" t="s">
        <v>126</v>
      </c>
      <c r="D43" s="60" t="s">
        <v>93</v>
      </c>
      <c r="E43" s="62" t="s">
        <v>64</v>
      </c>
      <c r="G43" s="63" t="s">
        <v>64</v>
      </c>
      <c r="H43" s="63" t="s">
        <v>64</v>
      </c>
      <c r="I43" s="63" t="s">
        <v>64</v>
      </c>
      <c r="J43" s="63" t="s">
        <v>64</v>
      </c>
      <c r="K43" s="64" t="s">
        <v>64</v>
      </c>
      <c r="L43" s="36" t="s">
        <v>127</v>
      </c>
      <c r="M43" s="65">
        <v>4.0</v>
      </c>
      <c r="N43" s="46">
        <v>0.0</v>
      </c>
      <c r="O43" s="46">
        <v>3.0</v>
      </c>
      <c r="P43" s="47">
        <f>SUM(M43:O43)</f>
        <v>7</v>
      </c>
      <c r="Q43" s="56"/>
      <c r="R43" s="56"/>
      <c r="S43" s="47">
        <f>SUM(P43:R43)</f>
        <v>7</v>
      </c>
      <c r="T43" s="66"/>
      <c r="U43" s="66" t="s">
        <v>128</v>
      </c>
      <c r="V43" s="67"/>
      <c r="W43" s="67"/>
    </row>
    <row r="47">
      <c r="A47" s="60"/>
      <c r="B47" s="60"/>
      <c r="C47" s="68" t="s">
        <v>45</v>
      </c>
      <c r="D47" s="69" t="s">
        <v>25</v>
      </c>
      <c r="E47" s="70" t="s">
        <v>14</v>
      </c>
      <c r="G47" s="41" t="s">
        <v>47</v>
      </c>
      <c r="H47" s="41" t="s">
        <v>48</v>
      </c>
      <c r="I47" s="41" t="s">
        <v>49</v>
      </c>
      <c r="J47" s="41" t="s">
        <v>50</v>
      </c>
      <c r="K47" s="41" t="s">
        <v>51</v>
      </c>
      <c r="L47" s="60"/>
      <c r="M47" s="60"/>
      <c r="N47" s="60"/>
      <c r="O47" s="60"/>
      <c r="P47" s="60"/>
      <c r="Q47" s="60"/>
      <c r="R47" s="1"/>
      <c r="S47" s="1"/>
    </row>
    <row r="48">
      <c r="A48" s="71"/>
      <c r="B48" s="71" t="s">
        <v>129</v>
      </c>
      <c r="C48" s="1" t="s">
        <v>30</v>
      </c>
      <c r="D48" s="72" t="s">
        <v>101</v>
      </c>
      <c r="E48" s="73">
        <v>4.0</v>
      </c>
      <c r="G48" s="1"/>
      <c r="H48" s="1"/>
      <c r="I48" s="63" t="s">
        <v>64</v>
      </c>
      <c r="J48" s="63" t="s">
        <v>64</v>
      </c>
      <c r="K48" s="64" t="s">
        <v>64</v>
      </c>
      <c r="L48" s="60"/>
      <c r="M48" s="60"/>
      <c r="N48" s="60"/>
      <c r="O48" s="60"/>
      <c r="P48" s="60"/>
      <c r="Q48" s="64"/>
      <c r="R48" s="46"/>
      <c r="S48" s="1"/>
    </row>
    <row r="49">
      <c r="A49" s="60"/>
      <c r="B49" s="60"/>
      <c r="D49" s="74" t="s">
        <v>130</v>
      </c>
      <c r="E49" s="1"/>
      <c r="L49" s="60"/>
      <c r="M49" s="60"/>
      <c r="N49" s="60"/>
      <c r="O49" s="60"/>
      <c r="P49" s="60"/>
      <c r="Q49" s="60"/>
      <c r="R49" s="1"/>
      <c r="S49" s="1"/>
    </row>
  </sheetData>
  <autoFilter ref="$A$17:$S$3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8" t="s">
        <v>131</v>
      </c>
      <c r="L1" s="75">
        <f>sum(J:J)</f>
        <v>106</v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>
      <c r="A3" s="76" t="s">
        <v>132</v>
      </c>
      <c r="B3" s="77" t="s">
        <v>45</v>
      </c>
      <c r="C3" s="76" t="s">
        <v>44</v>
      </c>
      <c r="D3" s="77" t="s">
        <v>25</v>
      </c>
      <c r="E3" s="77" t="s">
        <v>133</v>
      </c>
      <c r="F3" s="78" t="s">
        <v>134</v>
      </c>
      <c r="G3" s="78" t="s">
        <v>135</v>
      </c>
      <c r="H3" s="78" t="s">
        <v>136</v>
      </c>
      <c r="I3" s="79" t="s">
        <v>56</v>
      </c>
      <c r="J3" s="80" t="s">
        <v>59</v>
      </c>
    </row>
    <row r="4">
      <c r="A4" s="81" t="s">
        <v>137</v>
      </c>
      <c r="B4" s="82" t="s">
        <v>138</v>
      </c>
      <c r="C4" s="83">
        <v>5.8665332E7</v>
      </c>
      <c r="D4" s="82" t="s">
        <v>103</v>
      </c>
      <c r="E4" s="82" t="s">
        <v>139</v>
      </c>
      <c r="F4" s="82" t="s">
        <v>139</v>
      </c>
      <c r="G4" s="84"/>
      <c r="H4" s="82" t="s">
        <v>139</v>
      </c>
      <c r="I4" s="83">
        <v>6.0</v>
      </c>
      <c r="J4" s="85">
        <f t="shared" ref="J4:J5" si="1">SUM(I4)</f>
        <v>6</v>
      </c>
    </row>
    <row r="5">
      <c r="A5" s="81" t="s">
        <v>137</v>
      </c>
      <c r="B5" s="86" t="s">
        <v>87</v>
      </c>
      <c r="C5" s="87">
        <v>5.9301282E7</v>
      </c>
      <c r="D5" s="86" t="s">
        <v>88</v>
      </c>
      <c r="E5" s="86" t="s">
        <v>139</v>
      </c>
      <c r="F5" s="88" t="s">
        <v>139</v>
      </c>
      <c r="G5" s="88"/>
      <c r="H5" s="88"/>
      <c r="I5" s="89">
        <v>4.0</v>
      </c>
      <c r="J5" s="85">
        <f t="shared" si="1"/>
        <v>4</v>
      </c>
    </row>
    <row r="6">
      <c r="A6" s="81"/>
      <c r="B6" s="84"/>
      <c r="C6" s="84"/>
      <c r="D6" s="84"/>
      <c r="E6" s="84"/>
      <c r="F6" s="84"/>
      <c r="G6" s="84"/>
      <c r="H6" s="84"/>
      <c r="I6" s="84"/>
      <c r="J6" s="90"/>
    </row>
    <row r="7">
      <c r="A7" s="76" t="s">
        <v>132</v>
      </c>
      <c r="B7" s="77" t="s">
        <v>45</v>
      </c>
      <c r="C7" s="76" t="s">
        <v>44</v>
      </c>
      <c r="D7" s="77" t="s">
        <v>25</v>
      </c>
      <c r="E7" s="77" t="s">
        <v>133</v>
      </c>
      <c r="F7" s="78" t="s">
        <v>134</v>
      </c>
      <c r="G7" s="78" t="s">
        <v>135</v>
      </c>
      <c r="H7" s="78" t="s">
        <v>136</v>
      </c>
      <c r="I7" s="79" t="s">
        <v>56</v>
      </c>
      <c r="J7" s="80" t="s">
        <v>59</v>
      </c>
    </row>
    <row r="8">
      <c r="A8" s="81" t="s">
        <v>140</v>
      </c>
      <c r="B8" s="82" t="s">
        <v>90</v>
      </c>
      <c r="C8" s="83">
        <v>5.858385E7</v>
      </c>
      <c r="D8" s="82" t="s">
        <v>91</v>
      </c>
      <c r="E8" s="82" t="s">
        <v>139</v>
      </c>
      <c r="F8" s="82" t="s">
        <v>139</v>
      </c>
      <c r="G8" s="82" t="s">
        <v>139</v>
      </c>
      <c r="H8" s="82" t="s">
        <v>139</v>
      </c>
      <c r="I8" s="83">
        <f t="shared" ref="I8:I28" si="2">ROUNDUP(COUNTIF(E8:H8,"Y")*1,0)</f>
        <v>4</v>
      </c>
      <c r="J8" s="85">
        <f t="shared" ref="J8:J28" si="3">SUM(I8)</f>
        <v>4</v>
      </c>
    </row>
    <row r="9">
      <c r="A9" s="81" t="s">
        <v>140</v>
      </c>
      <c r="B9" s="86" t="s">
        <v>30</v>
      </c>
      <c r="C9" s="87">
        <v>5.865425E7</v>
      </c>
      <c r="D9" s="86" t="s">
        <v>101</v>
      </c>
      <c r="E9" s="86" t="s">
        <v>139</v>
      </c>
      <c r="F9" s="86" t="s">
        <v>139</v>
      </c>
      <c r="G9" s="86" t="s">
        <v>139</v>
      </c>
      <c r="H9" s="86" t="s">
        <v>139</v>
      </c>
      <c r="I9" s="87">
        <f t="shared" si="2"/>
        <v>4</v>
      </c>
      <c r="J9" s="85">
        <f t="shared" si="3"/>
        <v>4</v>
      </c>
    </row>
    <row r="10">
      <c r="A10" s="81" t="s">
        <v>140</v>
      </c>
      <c r="B10" s="82" t="s">
        <v>34</v>
      </c>
      <c r="C10" s="83">
        <v>5.8497196E7</v>
      </c>
      <c r="D10" s="82" t="s">
        <v>91</v>
      </c>
      <c r="E10" s="82" t="s">
        <v>139</v>
      </c>
      <c r="F10" s="82" t="s">
        <v>139</v>
      </c>
      <c r="G10" s="84"/>
      <c r="H10" s="82" t="s">
        <v>139</v>
      </c>
      <c r="I10" s="83">
        <f t="shared" si="2"/>
        <v>3</v>
      </c>
      <c r="J10" s="85">
        <f t="shared" si="3"/>
        <v>3</v>
      </c>
    </row>
    <row r="11">
      <c r="A11" s="81" t="s">
        <v>140</v>
      </c>
      <c r="B11" s="86" t="s">
        <v>141</v>
      </c>
      <c r="C11" s="87">
        <v>5.8786756E7</v>
      </c>
      <c r="D11" s="86" t="s">
        <v>101</v>
      </c>
      <c r="E11" s="88"/>
      <c r="F11" s="86" t="s">
        <v>139</v>
      </c>
      <c r="G11" s="86" t="s">
        <v>139</v>
      </c>
      <c r="H11" s="86" t="s">
        <v>139</v>
      </c>
      <c r="I11" s="87">
        <f t="shared" si="2"/>
        <v>3</v>
      </c>
      <c r="J11" s="85">
        <f t="shared" si="3"/>
        <v>3</v>
      </c>
    </row>
    <row r="12">
      <c r="A12" s="81" t="s">
        <v>140</v>
      </c>
      <c r="B12" s="82" t="s">
        <v>105</v>
      </c>
      <c r="C12" s="83">
        <v>5.8607629E7</v>
      </c>
      <c r="D12" s="82" t="s">
        <v>106</v>
      </c>
      <c r="E12" s="82" t="s">
        <v>139</v>
      </c>
      <c r="F12" s="82" t="s">
        <v>139</v>
      </c>
      <c r="G12" s="82" t="s">
        <v>139</v>
      </c>
      <c r="H12" s="84"/>
      <c r="I12" s="83">
        <f t="shared" si="2"/>
        <v>3</v>
      </c>
      <c r="J12" s="85">
        <f t="shared" si="3"/>
        <v>3</v>
      </c>
    </row>
    <row r="13">
      <c r="A13" s="81" t="s">
        <v>140</v>
      </c>
      <c r="B13" s="86" t="s">
        <v>142</v>
      </c>
      <c r="C13" s="87">
        <v>5.852165E7</v>
      </c>
      <c r="D13" s="86" t="s">
        <v>95</v>
      </c>
      <c r="E13" s="88"/>
      <c r="F13" s="86" t="s">
        <v>139</v>
      </c>
      <c r="G13" s="86" t="s">
        <v>139</v>
      </c>
      <c r="H13" s="86" t="s">
        <v>139</v>
      </c>
      <c r="I13" s="87">
        <f t="shared" si="2"/>
        <v>3</v>
      </c>
      <c r="J13" s="85">
        <f t="shared" si="3"/>
        <v>3</v>
      </c>
    </row>
    <row r="14">
      <c r="A14" s="81" t="s">
        <v>140</v>
      </c>
      <c r="B14" s="82" t="s">
        <v>143</v>
      </c>
      <c r="C14" s="83">
        <v>5.8521742E7</v>
      </c>
      <c r="D14" s="82" t="s">
        <v>95</v>
      </c>
      <c r="E14" s="82" t="s">
        <v>139</v>
      </c>
      <c r="F14" s="82" t="s">
        <v>139</v>
      </c>
      <c r="G14" s="82" t="s">
        <v>139</v>
      </c>
      <c r="H14" s="84"/>
      <c r="I14" s="83">
        <f t="shared" si="2"/>
        <v>3</v>
      </c>
      <c r="J14" s="85">
        <f t="shared" si="3"/>
        <v>3</v>
      </c>
    </row>
    <row r="15">
      <c r="A15" s="81" t="s">
        <v>140</v>
      </c>
      <c r="B15" s="86" t="s">
        <v>144</v>
      </c>
      <c r="C15" s="87">
        <v>5.92947E7</v>
      </c>
      <c r="D15" s="86" t="s">
        <v>145</v>
      </c>
      <c r="E15" s="88"/>
      <c r="F15" s="86" t="s">
        <v>139</v>
      </c>
      <c r="G15" s="86" t="s">
        <v>139</v>
      </c>
      <c r="H15" s="86" t="s">
        <v>139</v>
      </c>
      <c r="I15" s="87">
        <f t="shared" si="2"/>
        <v>3</v>
      </c>
      <c r="J15" s="85">
        <f t="shared" si="3"/>
        <v>3</v>
      </c>
    </row>
    <row r="16">
      <c r="A16" s="81" t="s">
        <v>140</v>
      </c>
      <c r="B16" s="82" t="s">
        <v>146</v>
      </c>
      <c r="C16" s="83">
        <v>5.8607445E7</v>
      </c>
      <c r="D16" s="82" t="s">
        <v>147</v>
      </c>
      <c r="E16" s="82" t="s">
        <v>139</v>
      </c>
      <c r="F16" s="84"/>
      <c r="G16" s="84"/>
      <c r="H16" s="82" t="s">
        <v>139</v>
      </c>
      <c r="I16" s="83">
        <f t="shared" si="2"/>
        <v>2</v>
      </c>
      <c r="J16" s="85">
        <f t="shared" si="3"/>
        <v>2</v>
      </c>
    </row>
    <row r="17">
      <c r="A17" s="81" t="s">
        <v>140</v>
      </c>
      <c r="B17" s="86" t="s">
        <v>148</v>
      </c>
      <c r="C17" s="87">
        <v>5.8575688E7</v>
      </c>
      <c r="D17" s="86" t="s">
        <v>93</v>
      </c>
      <c r="E17" s="86" t="s">
        <v>139</v>
      </c>
      <c r="F17" s="86" t="s">
        <v>139</v>
      </c>
      <c r="G17" s="88"/>
      <c r="H17" s="88"/>
      <c r="I17" s="87">
        <f t="shared" si="2"/>
        <v>2</v>
      </c>
      <c r="J17" s="85">
        <f t="shared" si="3"/>
        <v>2</v>
      </c>
    </row>
    <row r="18">
      <c r="A18" s="81" t="s">
        <v>140</v>
      </c>
      <c r="B18" s="82" t="s">
        <v>149</v>
      </c>
      <c r="C18" s="83">
        <v>5.9293609E7</v>
      </c>
      <c r="D18" s="82" t="s">
        <v>150</v>
      </c>
      <c r="E18" s="82" t="s">
        <v>139</v>
      </c>
      <c r="F18" s="82" t="s">
        <v>139</v>
      </c>
      <c r="G18" s="84"/>
      <c r="H18" s="84"/>
      <c r="I18" s="83">
        <f t="shared" si="2"/>
        <v>2</v>
      </c>
      <c r="J18" s="85">
        <f t="shared" si="3"/>
        <v>2</v>
      </c>
    </row>
    <row r="19">
      <c r="A19" s="81" t="s">
        <v>140</v>
      </c>
      <c r="B19" s="86" t="s">
        <v>151</v>
      </c>
      <c r="C19" s="87">
        <v>5.879469E7</v>
      </c>
      <c r="D19" s="86" t="s">
        <v>152</v>
      </c>
      <c r="E19" s="88"/>
      <c r="F19" s="86" t="s">
        <v>139</v>
      </c>
      <c r="G19" s="88"/>
      <c r="H19" s="86" t="s">
        <v>139</v>
      </c>
      <c r="I19" s="87">
        <f t="shared" si="2"/>
        <v>2</v>
      </c>
      <c r="J19" s="85">
        <f t="shared" si="3"/>
        <v>2</v>
      </c>
    </row>
    <row r="20">
      <c r="A20" s="81" t="s">
        <v>140</v>
      </c>
      <c r="B20" s="82" t="s">
        <v>153</v>
      </c>
      <c r="C20" s="83">
        <v>5.853031E7</v>
      </c>
      <c r="D20" s="82" t="s">
        <v>39</v>
      </c>
      <c r="E20" s="84"/>
      <c r="F20" s="84"/>
      <c r="G20" s="84"/>
      <c r="H20" s="82" t="s">
        <v>139</v>
      </c>
      <c r="I20" s="83">
        <f t="shared" si="2"/>
        <v>1</v>
      </c>
      <c r="J20" s="85">
        <f t="shared" si="3"/>
        <v>1</v>
      </c>
    </row>
    <row r="21">
      <c r="A21" s="81" t="s">
        <v>140</v>
      </c>
      <c r="B21" s="86" t="s">
        <v>67</v>
      </c>
      <c r="C21" s="87">
        <v>5.8520444E7</v>
      </c>
      <c r="D21" s="86" t="s">
        <v>68</v>
      </c>
      <c r="E21" s="86" t="s">
        <v>139</v>
      </c>
      <c r="F21" s="88"/>
      <c r="G21" s="88"/>
      <c r="H21" s="88"/>
      <c r="I21" s="87">
        <f t="shared" si="2"/>
        <v>1</v>
      </c>
      <c r="J21" s="85">
        <f t="shared" si="3"/>
        <v>1</v>
      </c>
    </row>
    <row r="22">
      <c r="A22" s="81" t="s">
        <v>140</v>
      </c>
      <c r="B22" s="82" t="s">
        <v>154</v>
      </c>
      <c r="C22" s="91">
        <v>5.9288255E7</v>
      </c>
      <c r="D22" s="82" t="s">
        <v>155</v>
      </c>
      <c r="E22" s="84"/>
      <c r="F22" s="82" t="s">
        <v>139</v>
      </c>
      <c r="G22" s="84"/>
      <c r="H22" s="84"/>
      <c r="I22" s="83">
        <f t="shared" si="2"/>
        <v>1</v>
      </c>
      <c r="J22" s="85">
        <f t="shared" si="3"/>
        <v>1</v>
      </c>
    </row>
    <row r="23">
      <c r="A23" s="81" t="s">
        <v>140</v>
      </c>
      <c r="B23" s="86" t="s">
        <v>156</v>
      </c>
      <c r="C23" s="87">
        <v>5.852805E7</v>
      </c>
      <c r="D23" s="86" t="s">
        <v>157</v>
      </c>
      <c r="E23" s="88"/>
      <c r="F23" s="88"/>
      <c r="G23" s="86" t="s">
        <v>139</v>
      </c>
      <c r="H23" s="88"/>
      <c r="I23" s="87">
        <f t="shared" si="2"/>
        <v>1</v>
      </c>
      <c r="J23" s="85">
        <f t="shared" si="3"/>
        <v>1</v>
      </c>
    </row>
    <row r="24">
      <c r="A24" s="81" t="s">
        <v>140</v>
      </c>
      <c r="B24" s="82" t="s">
        <v>158</v>
      </c>
      <c r="C24" s="83">
        <v>5.8618183E7</v>
      </c>
      <c r="D24" s="82" t="s">
        <v>155</v>
      </c>
      <c r="E24" s="84"/>
      <c r="F24" s="82" t="s">
        <v>139</v>
      </c>
      <c r="G24" s="84"/>
      <c r="H24" s="84"/>
      <c r="I24" s="83">
        <f t="shared" si="2"/>
        <v>1</v>
      </c>
      <c r="J24" s="85">
        <f t="shared" si="3"/>
        <v>1</v>
      </c>
    </row>
    <row r="25">
      <c r="A25" s="81" t="s">
        <v>140</v>
      </c>
      <c r="B25" s="86" t="s">
        <v>159</v>
      </c>
      <c r="C25" s="87">
        <v>5.8936204E7</v>
      </c>
      <c r="D25" s="86" t="s">
        <v>160</v>
      </c>
      <c r="E25" s="88"/>
      <c r="F25" s="86" t="s">
        <v>139</v>
      </c>
      <c r="G25" s="88"/>
      <c r="H25" s="88"/>
      <c r="I25" s="87">
        <f t="shared" si="2"/>
        <v>1</v>
      </c>
      <c r="J25" s="85">
        <f t="shared" si="3"/>
        <v>1</v>
      </c>
    </row>
    <row r="26">
      <c r="A26" s="81" t="s">
        <v>140</v>
      </c>
      <c r="B26" s="82" t="s">
        <v>96</v>
      </c>
      <c r="C26" s="83">
        <v>5.7942409E7</v>
      </c>
      <c r="D26" s="82" t="s">
        <v>97</v>
      </c>
      <c r="E26" s="84"/>
      <c r="F26" s="84"/>
      <c r="G26" s="84"/>
      <c r="H26" s="82" t="s">
        <v>139</v>
      </c>
      <c r="I26" s="83">
        <f t="shared" si="2"/>
        <v>1</v>
      </c>
      <c r="J26" s="85">
        <f t="shared" si="3"/>
        <v>1</v>
      </c>
    </row>
    <row r="27">
      <c r="A27" s="81" t="s">
        <v>140</v>
      </c>
      <c r="B27" s="86" t="s">
        <v>111</v>
      </c>
      <c r="C27" s="87">
        <v>5.8521705E7</v>
      </c>
      <c r="D27" s="86" t="s">
        <v>161</v>
      </c>
      <c r="E27" s="88"/>
      <c r="F27" s="86" t="s">
        <v>139</v>
      </c>
      <c r="G27" s="88"/>
      <c r="H27" s="88"/>
      <c r="I27" s="87">
        <f t="shared" si="2"/>
        <v>1</v>
      </c>
      <c r="J27" s="85">
        <f t="shared" si="3"/>
        <v>1</v>
      </c>
    </row>
    <row r="28">
      <c r="A28" s="81" t="s">
        <v>140</v>
      </c>
      <c r="B28" s="82" t="s">
        <v>110</v>
      </c>
      <c r="C28" s="83">
        <v>5.9304929E7</v>
      </c>
      <c r="D28" s="82" t="s">
        <v>99</v>
      </c>
      <c r="E28" s="84"/>
      <c r="F28" s="82" t="s">
        <v>139</v>
      </c>
      <c r="G28" s="84"/>
      <c r="H28" s="84"/>
      <c r="I28" s="83">
        <f t="shared" si="2"/>
        <v>1</v>
      </c>
      <c r="J28" s="85">
        <f t="shared" si="3"/>
        <v>1</v>
      </c>
    </row>
    <row r="31">
      <c r="I31" s="28" t="s">
        <v>162</v>
      </c>
      <c r="J31" s="75">
        <f>sum(J4:J5)+sum(J8:J28)</f>
        <v>53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</cols>
  <sheetData>
    <row r="1">
      <c r="A1" s="92"/>
      <c r="B1" s="92"/>
      <c r="C1" s="2" t="s">
        <v>0</v>
      </c>
      <c r="D1" s="3" t="s">
        <v>1</v>
      </c>
      <c r="E1" s="93"/>
      <c r="F1" s="94"/>
      <c r="G1" s="94"/>
      <c r="H1" s="94"/>
      <c r="I1" s="94"/>
      <c r="J1" s="94"/>
      <c r="K1" s="94"/>
      <c r="L1" s="1"/>
      <c r="M1" s="1"/>
      <c r="N1" s="1"/>
      <c r="O1" s="1"/>
      <c r="P1" s="1"/>
    </row>
    <row r="2">
      <c r="A2" s="92"/>
      <c r="B2" s="92"/>
      <c r="C2" s="2"/>
      <c r="D2" s="7" t="s">
        <v>2</v>
      </c>
      <c r="E2" s="93"/>
      <c r="F2" s="94"/>
      <c r="G2" s="94"/>
      <c r="H2" s="94"/>
      <c r="I2" s="94"/>
      <c r="J2" s="94"/>
      <c r="K2" s="94"/>
      <c r="L2" s="1"/>
      <c r="M2" s="1"/>
      <c r="N2" s="1"/>
      <c r="O2" s="1"/>
      <c r="P2" s="1"/>
    </row>
    <row r="3">
      <c r="A3" s="92"/>
      <c r="B3" s="92"/>
      <c r="C3" s="2"/>
      <c r="D3" s="3" t="s">
        <v>3</v>
      </c>
      <c r="E3" s="93"/>
      <c r="F3" s="94"/>
      <c r="G3" s="94"/>
      <c r="H3" s="94"/>
      <c r="I3" s="94"/>
      <c r="J3" s="94"/>
      <c r="K3" s="94"/>
      <c r="L3" s="1"/>
      <c r="M3" s="1"/>
      <c r="N3" s="1"/>
      <c r="O3" s="1"/>
      <c r="P3" s="1"/>
    </row>
    <row r="4">
      <c r="A4" s="92"/>
      <c r="B4" s="92"/>
      <c r="C4" s="2"/>
      <c r="D4" s="8" t="s">
        <v>4</v>
      </c>
      <c r="E4" s="93"/>
      <c r="F4" s="94"/>
      <c r="G4" s="94"/>
      <c r="H4" s="94"/>
      <c r="I4" s="94"/>
      <c r="J4" s="94"/>
      <c r="K4" s="94"/>
      <c r="L4" s="1"/>
      <c r="M4" s="1"/>
      <c r="N4" s="1"/>
      <c r="O4" s="1"/>
      <c r="P4" s="1"/>
    </row>
    <row r="5">
      <c r="A5" s="92"/>
      <c r="B5" s="92"/>
      <c r="C5" s="2"/>
      <c r="D5" s="12" t="s">
        <v>5</v>
      </c>
      <c r="E5" s="93"/>
      <c r="F5" s="94"/>
      <c r="G5" s="94"/>
      <c r="H5" s="94"/>
      <c r="I5" s="94"/>
      <c r="J5" s="94"/>
      <c r="K5" s="94"/>
      <c r="L5" s="1"/>
      <c r="M5" s="1"/>
      <c r="N5" s="1"/>
      <c r="O5" s="1"/>
      <c r="P5" s="1"/>
    </row>
    <row r="6">
      <c r="A6" s="92"/>
      <c r="B6" s="92"/>
      <c r="C6" s="2"/>
      <c r="D6" s="12"/>
      <c r="E6" s="93"/>
      <c r="F6" s="93"/>
      <c r="G6" s="93"/>
      <c r="H6" s="93"/>
      <c r="I6" s="93"/>
      <c r="J6" s="93"/>
      <c r="K6" s="93"/>
      <c r="L6" s="1"/>
      <c r="M6" s="1"/>
      <c r="N6" s="1"/>
      <c r="O6" s="1"/>
      <c r="P6" s="1"/>
    </row>
    <row r="7">
      <c r="A7" s="92"/>
      <c r="B7" s="92"/>
      <c r="C7" s="2"/>
      <c r="D7" s="16" t="s">
        <v>6</v>
      </c>
      <c r="E7" s="93"/>
      <c r="F7" s="94"/>
      <c r="G7" s="94"/>
      <c r="H7" s="94"/>
      <c r="I7" s="94"/>
      <c r="J7" s="94"/>
      <c r="K7" s="94"/>
      <c r="L7" s="1"/>
      <c r="M7" s="1"/>
      <c r="N7" s="1"/>
      <c r="O7" s="1"/>
      <c r="P7" s="1"/>
    </row>
    <row r="8">
      <c r="A8" s="92"/>
      <c r="B8" s="92"/>
      <c r="C8" s="19"/>
      <c r="D8" s="20" t="s">
        <v>7</v>
      </c>
      <c r="H8" s="30"/>
      <c r="I8" s="30"/>
    </row>
    <row r="9">
      <c r="A9" s="92"/>
      <c r="B9" s="92"/>
      <c r="C9" s="19"/>
      <c r="D9" s="20" t="s">
        <v>8</v>
      </c>
      <c r="H9" s="30"/>
      <c r="I9" s="30"/>
    </row>
    <row r="10">
      <c r="A10" s="92"/>
      <c r="B10" s="92"/>
      <c r="C10" s="19"/>
      <c r="D10" s="20" t="s">
        <v>9</v>
      </c>
      <c r="H10" s="30"/>
      <c r="I10" s="30"/>
    </row>
    <row r="11">
      <c r="A11" s="92"/>
      <c r="B11" s="92"/>
      <c r="C11" s="19"/>
      <c r="D11" s="19" t="s">
        <v>10</v>
      </c>
      <c r="E11" s="19"/>
      <c r="F11" s="19"/>
      <c r="G11" s="19"/>
      <c r="H11" s="19"/>
      <c r="I11" s="19"/>
      <c r="J11" s="19"/>
      <c r="K11" s="19"/>
    </row>
    <row r="12">
      <c r="A12" s="92"/>
      <c r="B12" s="92"/>
      <c r="C12" s="19"/>
      <c r="D12" s="19"/>
      <c r="E12" s="19"/>
      <c r="F12" s="19"/>
      <c r="G12" s="19"/>
      <c r="H12" s="19"/>
      <c r="I12" s="19"/>
      <c r="J12" s="19"/>
      <c r="K12" s="19"/>
    </row>
    <row r="13">
      <c r="A13" s="92"/>
      <c r="B13" s="92"/>
      <c r="C13" s="24" t="s">
        <v>13</v>
      </c>
      <c r="E13" s="25" t="s">
        <v>14</v>
      </c>
      <c r="F13" s="95"/>
      <c r="G13" s="95"/>
      <c r="H13" s="95"/>
      <c r="I13" s="95"/>
      <c r="J13" s="96"/>
      <c r="K13" s="96"/>
      <c r="L13" s="96"/>
      <c r="M13" s="96"/>
      <c r="N13" s="96"/>
      <c r="O13" s="97"/>
      <c r="P13" s="96"/>
    </row>
    <row r="14">
      <c r="A14" s="98"/>
      <c r="D14" s="99" t="s">
        <v>25</v>
      </c>
    </row>
    <row r="15">
      <c r="A15" s="92"/>
      <c r="B15" s="98" t="s">
        <v>129</v>
      </c>
      <c r="C15" s="100" t="s">
        <v>34</v>
      </c>
      <c r="D15" s="101" t="s">
        <v>91</v>
      </c>
      <c r="E15" s="102">
        <v>5.0</v>
      </c>
      <c r="F15" s="102"/>
      <c r="G15" s="102"/>
      <c r="H15" s="102"/>
      <c r="I15" s="102"/>
      <c r="J15" s="102"/>
      <c r="K15" s="28"/>
      <c r="L15" s="28"/>
      <c r="M15" s="28"/>
      <c r="N15" s="96"/>
      <c r="O15" s="96"/>
      <c r="P15" s="96"/>
      <c r="Q15" s="96"/>
      <c r="R15" s="97"/>
      <c r="S15" s="96">
        <f>SUM(T18,Q22:Q40,Q44:Q47,Q53:Q57,Q61:Q63,K69:K92,K94:K100,K100)</f>
        <v>326</v>
      </c>
    </row>
    <row r="16">
      <c r="A16" s="98"/>
    </row>
    <row r="17">
      <c r="A17" s="98"/>
      <c r="F17" s="103" t="s">
        <v>163</v>
      </c>
      <c r="G17" s="103" t="s">
        <v>164</v>
      </c>
      <c r="H17" s="103" t="s">
        <v>165</v>
      </c>
      <c r="I17" s="103" t="s">
        <v>166</v>
      </c>
      <c r="J17" s="103" t="s">
        <v>167</v>
      </c>
      <c r="K17" s="103" t="s">
        <v>168</v>
      </c>
      <c r="L17" s="103" t="s">
        <v>169</v>
      </c>
      <c r="M17" s="103" t="s">
        <v>166</v>
      </c>
      <c r="N17" s="42" t="s">
        <v>53</v>
      </c>
      <c r="O17" s="42" t="s">
        <v>54</v>
      </c>
      <c r="P17" s="42" t="s">
        <v>55</v>
      </c>
      <c r="Q17" s="42" t="s">
        <v>56</v>
      </c>
      <c r="R17" s="42" t="s">
        <v>57</v>
      </c>
      <c r="S17" s="42" t="s">
        <v>58</v>
      </c>
      <c r="T17" s="11" t="s">
        <v>59</v>
      </c>
      <c r="U17" s="104"/>
    </row>
    <row r="18">
      <c r="B18" s="98" t="s">
        <v>170</v>
      </c>
      <c r="C18" s="105" t="s">
        <v>171</v>
      </c>
      <c r="D18" s="106">
        <v>5.8521742E7</v>
      </c>
      <c r="E18" s="28" t="s">
        <v>145</v>
      </c>
      <c r="F18" s="107" t="s">
        <v>139</v>
      </c>
      <c r="G18" s="107" t="s">
        <v>139</v>
      </c>
      <c r="H18" s="107"/>
      <c r="I18" s="107" t="s">
        <v>139</v>
      </c>
      <c r="J18" s="108"/>
      <c r="K18" s="67"/>
      <c r="L18" s="67"/>
      <c r="M18" s="67"/>
      <c r="N18" s="102">
        <v>5.0</v>
      </c>
      <c r="O18" s="96"/>
      <c r="P18" s="96">
        <v>3.0</v>
      </c>
      <c r="Q18" s="75">
        <f>SUM(N18:P18)</f>
        <v>8</v>
      </c>
      <c r="R18" s="96"/>
      <c r="S18" s="96"/>
      <c r="T18" s="44">
        <f>SUM(Q18:S18)</f>
        <v>8</v>
      </c>
    </row>
    <row r="19">
      <c r="B19" s="98" t="s">
        <v>172</v>
      </c>
      <c r="C19" s="28" t="s">
        <v>143</v>
      </c>
      <c r="D19" s="109">
        <v>5.92947E7</v>
      </c>
      <c r="E19" s="28" t="s">
        <v>95</v>
      </c>
      <c r="F19" s="107" t="s">
        <v>139</v>
      </c>
      <c r="G19" s="107" t="s">
        <v>139</v>
      </c>
      <c r="H19" s="107"/>
      <c r="I19" s="107" t="s">
        <v>139</v>
      </c>
      <c r="J19" s="108" t="s">
        <v>139</v>
      </c>
      <c r="K19" s="108" t="s">
        <v>139</v>
      </c>
      <c r="L19" s="108" t="s">
        <v>139</v>
      </c>
      <c r="M19" s="108" t="s">
        <v>139</v>
      </c>
      <c r="N19" s="110">
        <v>6.0</v>
      </c>
      <c r="O19" s="110">
        <v>1.0</v>
      </c>
      <c r="P19" s="110">
        <v>3.0</v>
      </c>
      <c r="Q19" s="110">
        <v>10.0</v>
      </c>
      <c r="R19" s="104"/>
      <c r="S19" s="104"/>
      <c r="T19" s="104"/>
      <c r="U19" s="104"/>
    </row>
    <row r="20">
      <c r="K20" s="111"/>
    </row>
    <row r="21">
      <c r="A21" s="38" t="s">
        <v>173</v>
      </c>
      <c r="B21" s="39" t="s">
        <v>89</v>
      </c>
      <c r="C21" s="40" t="s">
        <v>45</v>
      </c>
      <c r="D21" s="39" t="s">
        <v>44</v>
      </c>
      <c r="E21" s="40" t="s">
        <v>25</v>
      </c>
      <c r="F21" s="103" t="s">
        <v>163</v>
      </c>
      <c r="G21" s="103" t="s">
        <v>164</v>
      </c>
      <c r="H21" s="103" t="s">
        <v>165</v>
      </c>
      <c r="I21" s="103" t="s">
        <v>166</v>
      </c>
      <c r="J21" s="41" t="s">
        <v>52</v>
      </c>
      <c r="K21" s="42" t="s">
        <v>53</v>
      </c>
      <c r="L21" s="42" t="s">
        <v>54</v>
      </c>
      <c r="M21" s="42" t="s">
        <v>55</v>
      </c>
      <c r="N21" s="42" t="s">
        <v>56</v>
      </c>
      <c r="O21" s="42" t="s">
        <v>57</v>
      </c>
      <c r="P21" s="42" t="s">
        <v>58</v>
      </c>
      <c r="Q21" s="11" t="s">
        <v>59</v>
      </c>
    </row>
    <row r="22">
      <c r="A22" s="28">
        <v>1.0</v>
      </c>
      <c r="B22" s="75" t="s">
        <v>61</v>
      </c>
      <c r="C22" s="75" t="s">
        <v>141</v>
      </c>
      <c r="D22" s="75">
        <v>5.8786756E7</v>
      </c>
      <c r="E22" s="75" t="s">
        <v>101</v>
      </c>
      <c r="F22" s="75" t="s">
        <v>139</v>
      </c>
      <c r="H22" s="75" t="s">
        <v>139</v>
      </c>
      <c r="I22" s="75" t="s">
        <v>139</v>
      </c>
      <c r="K22" s="75">
        <v>6.0</v>
      </c>
      <c r="L22" s="28">
        <v>1.0</v>
      </c>
      <c r="M22" s="75">
        <f t="shared" ref="M22:M40" si="1">ROUNDUP((COUNTIF(F22:H22,"Y")/4)*3,0)</f>
        <v>2</v>
      </c>
      <c r="N22" s="75">
        <f t="shared" ref="N22:N40" si="2">SUM(K22:M22)</f>
        <v>9</v>
      </c>
      <c r="Q22" s="44">
        <f t="shared" ref="Q22:Q40" si="3">SUM(N22:P22)</f>
        <v>9</v>
      </c>
    </row>
    <row r="23">
      <c r="A23" s="28">
        <v>2.0</v>
      </c>
      <c r="B23" s="75" t="s">
        <v>61</v>
      </c>
      <c r="C23" s="75" t="s">
        <v>30</v>
      </c>
      <c r="D23" s="75">
        <v>5.865425E7</v>
      </c>
      <c r="E23" s="75" t="s">
        <v>101</v>
      </c>
      <c r="F23" s="75" t="s">
        <v>139</v>
      </c>
      <c r="H23" s="75" t="s">
        <v>139</v>
      </c>
      <c r="I23" s="75" t="s">
        <v>139</v>
      </c>
      <c r="K23" s="28">
        <v>5.0</v>
      </c>
      <c r="L23" s="28">
        <v>1.0</v>
      </c>
      <c r="M23" s="75">
        <f t="shared" si="1"/>
        <v>2</v>
      </c>
      <c r="N23" s="75">
        <f t="shared" si="2"/>
        <v>8</v>
      </c>
      <c r="Q23" s="44">
        <f t="shared" si="3"/>
        <v>8</v>
      </c>
    </row>
    <row r="24">
      <c r="A24" s="28">
        <v>3.0</v>
      </c>
      <c r="B24" s="75" t="s">
        <v>61</v>
      </c>
      <c r="C24" s="75" t="s">
        <v>158</v>
      </c>
      <c r="D24" s="75">
        <v>5.8618183E7</v>
      </c>
      <c r="E24" s="75" t="s">
        <v>155</v>
      </c>
      <c r="G24" s="75" t="s">
        <v>139</v>
      </c>
      <c r="I24" s="75" t="s">
        <v>139</v>
      </c>
      <c r="K24" s="28">
        <v>5.0</v>
      </c>
      <c r="L24" s="28">
        <v>1.0</v>
      </c>
      <c r="M24" s="75">
        <f t="shared" si="1"/>
        <v>1</v>
      </c>
      <c r="N24" s="75">
        <f t="shared" si="2"/>
        <v>7</v>
      </c>
      <c r="Q24" s="44">
        <f t="shared" si="3"/>
        <v>7</v>
      </c>
    </row>
    <row r="25">
      <c r="A25" s="28">
        <v>4.0</v>
      </c>
      <c r="B25" s="75" t="s">
        <v>61</v>
      </c>
      <c r="C25" s="75" t="s">
        <v>159</v>
      </c>
      <c r="D25" s="75">
        <v>5.8936204E7</v>
      </c>
      <c r="E25" s="75" t="s">
        <v>160</v>
      </c>
      <c r="F25" s="75" t="s">
        <v>139</v>
      </c>
      <c r="I25" s="75" t="s">
        <v>139</v>
      </c>
      <c r="K25" s="28">
        <v>5.0</v>
      </c>
      <c r="M25" s="75">
        <f t="shared" si="1"/>
        <v>1</v>
      </c>
      <c r="N25" s="75">
        <f t="shared" si="2"/>
        <v>6</v>
      </c>
      <c r="Q25" s="44">
        <f t="shared" si="3"/>
        <v>6</v>
      </c>
    </row>
    <row r="26">
      <c r="A26" s="28">
        <v>5.0</v>
      </c>
      <c r="B26" s="75" t="s">
        <v>61</v>
      </c>
      <c r="C26" s="75" t="s">
        <v>105</v>
      </c>
      <c r="D26" s="75">
        <v>5.8607629E7</v>
      </c>
      <c r="E26" s="75" t="s">
        <v>106</v>
      </c>
      <c r="F26" s="75" t="s">
        <v>139</v>
      </c>
      <c r="H26" s="75" t="s">
        <v>139</v>
      </c>
      <c r="I26" s="75" t="s">
        <v>139</v>
      </c>
      <c r="K26" s="28">
        <v>5.0</v>
      </c>
      <c r="M26" s="75">
        <f t="shared" si="1"/>
        <v>2</v>
      </c>
      <c r="N26" s="75">
        <f t="shared" si="2"/>
        <v>7</v>
      </c>
      <c r="Q26" s="44">
        <f t="shared" si="3"/>
        <v>7</v>
      </c>
    </row>
    <row r="27">
      <c r="A27" s="28">
        <v>6.0</v>
      </c>
      <c r="B27" s="75" t="s">
        <v>61</v>
      </c>
      <c r="C27" s="75" t="s">
        <v>149</v>
      </c>
      <c r="D27" s="75">
        <v>5.9293609E7</v>
      </c>
      <c r="E27" s="75" t="s">
        <v>150</v>
      </c>
      <c r="G27" s="75" t="s">
        <v>139</v>
      </c>
      <c r="I27" s="75" t="s">
        <v>139</v>
      </c>
      <c r="K27" s="28">
        <v>5.0</v>
      </c>
      <c r="M27" s="75">
        <f t="shared" si="1"/>
        <v>1</v>
      </c>
      <c r="N27" s="75">
        <f t="shared" si="2"/>
        <v>6</v>
      </c>
      <c r="Q27" s="44">
        <f t="shared" si="3"/>
        <v>6</v>
      </c>
    </row>
    <row r="28">
      <c r="A28" s="28">
        <v>7.0</v>
      </c>
      <c r="B28" s="75" t="s">
        <v>61</v>
      </c>
      <c r="C28" s="75" t="s">
        <v>151</v>
      </c>
      <c r="D28" s="75">
        <v>5.879469E7</v>
      </c>
      <c r="E28" s="75" t="s">
        <v>152</v>
      </c>
      <c r="F28" s="75" t="s">
        <v>139</v>
      </c>
      <c r="I28" s="75" t="s">
        <v>139</v>
      </c>
      <c r="K28" s="28">
        <v>5.0</v>
      </c>
      <c r="M28" s="75">
        <f t="shared" si="1"/>
        <v>1</v>
      </c>
      <c r="N28" s="75">
        <f t="shared" si="2"/>
        <v>6</v>
      </c>
      <c r="Q28" s="44">
        <f t="shared" si="3"/>
        <v>6</v>
      </c>
    </row>
    <row r="29">
      <c r="A29" s="28">
        <v>8.0</v>
      </c>
      <c r="B29" s="75" t="s">
        <v>61</v>
      </c>
      <c r="C29" s="75" t="s">
        <v>174</v>
      </c>
      <c r="D29" s="75">
        <v>5.9304825E7</v>
      </c>
      <c r="E29" s="75" t="s">
        <v>175</v>
      </c>
      <c r="F29" s="75" t="s">
        <v>139</v>
      </c>
      <c r="I29" s="75" t="s">
        <v>139</v>
      </c>
      <c r="K29" s="28">
        <v>5.0</v>
      </c>
      <c r="M29" s="75">
        <f t="shared" si="1"/>
        <v>1</v>
      </c>
      <c r="N29" s="75">
        <f t="shared" si="2"/>
        <v>6</v>
      </c>
      <c r="Q29" s="44">
        <f t="shared" si="3"/>
        <v>6</v>
      </c>
    </row>
    <row r="30">
      <c r="A30" s="28">
        <v>9.0</v>
      </c>
      <c r="B30" s="75" t="s">
        <v>61</v>
      </c>
      <c r="C30" s="75" t="s">
        <v>146</v>
      </c>
      <c r="D30" s="75">
        <v>5.8607445E7</v>
      </c>
      <c r="E30" s="75" t="s">
        <v>147</v>
      </c>
      <c r="I30" s="75" t="s">
        <v>139</v>
      </c>
      <c r="K30" s="28">
        <v>5.0</v>
      </c>
      <c r="M30" s="75">
        <f t="shared" si="1"/>
        <v>0</v>
      </c>
      <c r="N30" s="75">
        <f t="shared" si="2"/>
        <v>5</v>
      </c>
      <c r="Q30" s="44">
        <f t="shared" si="3"/>
        <v>5</v>
      </c>
    </row>
    <row r="31">
      <c r="A31" s="28">
        <v>10.0</v>
      </c>
      <c r="B31" s="75" t="s">
        <v>61</v>
      </c>
      <c r="C31" s="75" t="s">
        <v>138</v>
      </c>
      <c r="D31" s="75">
        <v>5.8665332E7</v>
      </c>
      <c r="E31" s="75" t="s">
        <v>103</v>
      </c>
      <c r="I31" s="75" t="s">
        <v>139</v>
      </c>
      <c r="K31" s="28">
        <v>5.0</v>
      </c>
      <c r="M31" s="75">
        <f t="shared" si="1"/>
        <v>0</v>
      </c>
      <c r="N31" s="75">
        <f t="shared" si="2"/>
        <v>5</v>
      </c>
      <c r="Q31" s="44">
        <f t="shared" si="3"/>
        <v>5</v>
      </c>
    </row>
    <row r="32">
      <c r="A32" s="28">
        <v>11.0</v>
      </c>
      <c r="B32" s="75" t="s">
        <v>61</v>
      </c>
      <c r="C32" s="75" t="s">
        <v>154</v>
      </c>
      <c r="D32" s="75">
        <v>5.9288256E7</v>
      </c>
      <c r="E32" s="75" t="s">
        <v>155</v>
      </c>
      <c r="I32" s="75" t="s">
        <v>139</v>
      </c>
      <c r="K32" s="28">
        <v>5.0</v>
      </c>
      <c r="M32" s="75">
        <f t="shared" si="1"/>
        <v>0</v>
      </c>
      <c r="N32" s="75">
        <f t="shared" si="2"/>
        <v>5</v>
      </c>
      <c r="Q32" s="44">
        <f t="shared" si="3"/>
        <v>5</v>
      </c>
    </row>
    <row r="33">
      <c r="A33" s="28">
        <v>12.0</v>
      </c>
      <c r="B33" s="75" t="s">
        <v>61</v>
      </c>
      <c r="C33" s="75" t="s">
        <v>142</v>
      </c>
      <c r="D33" s="75">
        <v>5.852165E7</v>
      </c>
      <c r="E33" s="75" t="s">
        <v>95</v>
      </c>
      <c r="I33" s="75" t="s">
        <v>139</v>
      </c>
      <c r="K33" s="28">
        <v>5.0</v>
      </c>
      <c r="M33" s="75">
        <f t="shared" si="1"/>
        <v>0</v>
      </c>
      <c r="N33" s="75">
        <f t="shared" si="2"/>
        <v>5</v>
      </c>
      <c r="Q33" s="44">
        <f t="shared" si="3"/>
        <v>5</v>
      </c>
    </row>
    <row r="34">
      <c r="B34" s="75" t="s">
        <v>109</v>
      </c>
      <c r="C34" s="75" t="s">
        <v>176</v>
      </c>
      <c r="D34" s="75">
        <v>5.7313758E7</v>
      </c>
      <c r="E34" s="75" t="s">
        <v>177</v>
      </c>
      <c r="F34" s="28" t="s">
        <v>139</v>
      </c>
      <c r="G34" s="75" t="s">
        <v>139</v>
      </c>
      <c r="I34" s="28" t="s">
        <v>139</v>
      </c>
      <c r="K34" s="28">
        <v>2.0</v>
      </c>
      <c r="M34" s="75">
        <f t="shared" si="1"/>
        <v>2</v>
      </c>
      <c r="N34" s="75">
        <f t="shared" si="2"/>
        <v>4</v>
      </c>
      <c r="Q34" s="44">
        <f t="shared" si="3"/>
        <v>4</v>
      </c>
    </row>
    <row r="35">
      <c r="B35" s="75" t="s">
        <v>109</v>
      </c>
      <c r="C35" s="75" t="s">
        <v>178</v>
      </c>
      <c r="D35" s="75">
        <v>5.8539339E7</v>
      </c>
      <c r="E35" s="75" t="s">
        <v>179</v>
      </c>
      <c r="G35" s="75" t="s">
        <v>139</v>
      </c>
      <c r="H35" s="75" t="s">
        <v>139</v>
      </c>
      <c r="I35" s="28" t="s">
        <v>139</v>
      </c>
      <c r="K35" s="28">
        <v>2.0</v>
      </c>
      <c r="M35" s="75">
        <f t="shared" si="1"/>
        <v>2</v>
      </c>
      <c r="N35" s="75">
        <f t="shared" si="2"/>
        <v>4</v>
      </c>
      <c r="Q35" s="44">
        <f t="shared" si="3"/>
        <v>4</v>
      </c>
    </row>
    <row r="36">
      <c r="A36" s="112"/>
      <c r="B36" s="112"/>
      <c r="C36" s="75" t="s">
        <v>156</v>
      </c>
      <c r="D36" s="75">
        <v>5.852805E7</v>
      </c>
      <c r="E36" s="75" t="s">
        <v>157</v>
      </c>
      <c r="H36" s="75" t="s">
        <v>139</v>
      </c>
      <c r="K36" s="28">
        <v>0.0</v>
      </c>
      <c r="M36" s="75">
        <f t="shared" si="1"/>
        <v>1</v>
      </c>
      <c r="N36" s="75">
        <f t="shared" si="2"/>
        <v>1</v>
      </c>
      <c r="Q36" s="44">
        <f t="shared" si="3"/>
        <v>1</v>
      </c>
    </row>
    <row r="37">
      <c r="A37" s="28"/>
      <c r="B37" s="28" t="s">
        <v>81</v>
      </c>
      <c r="C37" s="28" t="s">
        <v>180</v>
      </c>
      <c r="D37" s="28">
        <v>6.017575E7</v>
      </c>
      <c r="E37" s="28" t="s">
        <v>116</v>
      </c>
      <c r="I37" s="28" t="s">
        <v>139</v>
      </c>
      <c r="K37" s="28">
        <v>0.0</v>
      </c>
      <c r="M37" s="75">
        <f t="shared" si="1"/>
        <v>0</v>
      </c>
      <c r="N37" s="75">
        <f t="shared" si="2"/>
        <v>0</v>
      </c>
      <c r="P37" s="28">
        <v>2.0</v>
      </c>
      <c r="Q37" s="44">
        <f t="shared" si="3"/>
        <v>2</v>
      </c>
    </row>
    <row r="38">
      <c r="A38" s="28"/>
      <c r="B38" s="28" t="s">
        <v>81</v>
      </c>
      <c r="C38" s="28" t="s">
        <v>181</v>
      </c>
      <c r="D38" s="28">
        <v>5.9004982E7</v>
      </c>
      <c r="E38" s="28" t="s">
        <v>182</v>
      </c>
      <c r="F38" s="113" t="s">
        <v>139</v>
      </c>
      <c r="G38" s="114"/>
      <c r="I38" s="28" t="s">
        <v>139</v>
      </c>
      <c r="K38" s="28">
        <v>0.0</v>
      </c>
      <c r="M38" s="75">
        <f t="shared" si="1"/>
        <v>1</v>
      </c>
      <c r="N38" s="75">
        <f t="shared" si="2"/>
        <v>1</v>
      </c>
      <c r="P38" s="28">
        <v>3.0</v>
      </c>
      <c r="Q38" s="44">
        <f t="shared" si="3"/>
        <v>4</v>
      </c>
    </row>
    <row r="39">
      <c r="A39" s="28"/>
      <c r="B39" s="28" t="s">
        <v>183</v>
      </c>
      <c r="C39" s="115" t="s">
        <v>90</v>
      </c>
      <c r="D39" s="116">
        <v>5.858385E7</v>
      </c>
      <c r="E39" s="117" t="s">
        <v>91</v>
      </c>
      <c r="F39" s="118" t="s">
        <v>139</v>
      </c>
      <c r="G39" s="118" t="s">
        <v>139</v>
      </c>
      <c r="K39" s="28">
        <v>0.0</v>
      </c>
      <c r="M39" s="75">
        <f t="shared" si="1"/>
        <v>2</v>
      </c>
      <c r="N39" s="75">
        <f t="shared" si="2"/>
        <v>2</v>
      </c>
      <c r="Q39" s="44">
        <f t="shared" si="3"/>
        <v>2</v>
      </c>
    </row>
    <row r="40">
      <c r="A40" s="28"/>
      <c r="B40" s="28" t="s">
        <v>183</v>
      </c>
      <c r="C40" s="115" t="s">
        <v>184</v>
      </c>
      <c r="D40" s="116">
        <v>6.017655E7</v>
      </c>
      <c r="E40" s="117" t="s">
        <v>185</v>
      </c>
      <c r="F40" s="118" t="s">
        <v>139</v>
      </c>
      <c r="G40" s="119"/>
      <c r="K40" s="28">
        <v>0.0</v>
      </c>
      <c r="M40" s="75">
        <f t="shared" si="1"/>
        <v>1</v>
      </c>
      <c r="N40" s="75">
        <f t="shared" si="2"/>
        <v>1</v>
      </c>
      <c r="Q40" s="44">
        <f t="shared" si="3"/>
        <v>1</v>
      </c>
    </row>
    <row r="42">
      <c r="C42" s="120"/>
      <c r="F42" s="121"/>
      <c r="H42" s="121"/>
      <c r="I42" s="121"/>
      <c r="J42" s="121"/>
    </row>
    <row r="43">
      <c r="A43" s="38"/>
      <c r="B43" s="38" t="s">
        <v>43</v>
      </c>
      <c r="C43" s="40" t="s">
        <v>45</v>
      </c>
      <c r="D43" s="39" t="s">
        <v>44</v>
      </c>
      <c r="E43" s="40" t="s">
        <v>25</v>
      </c>
      <c r="F43" s="121"/>
      <c r="H43" s="103" t="s">
        <v>166</v>
      </c>
      <c r="I43" s="121"/>
      <c r="J43" s="121"/>
    </row>
    <row r="44">
      <c r="A44" s="28"/>
      <c r="B44" s="28" t="s">
        <v>81</v>
      </c>
      <c r="C44" s="28" t="s">
        <v>186</v>
      </c>
      <c r="D44" s="28">
        <v>5.9642212E7</v>
      </c>
      <c r="E44" s="28" t="s">
        <v>63</v>
      </c>
      <c r="H44" s="122" t="s">
        <v>139</v>
      </c>
      <c r="N44" s="75">
        <f t="shared" ref="N44:N47" si="4">SUM(K44:M44)</f>
        <v>0</v>
      </c>
      <c r="P44" s="28">
        <v>2.0</v>
      </c>
      <c r="Q44" s="44">
        <f t="shared" ref="Q44:Q47" si="5">SUM(N44:P44)</f>
        <v>2</v>
      </c>
    </row>
    <row r="45">
      <c r="A45" s="28"/>
      <c r="B45" s="28" t="s">
        <v>81</v>
      </c>
      <c r="C45" s="28" t="s">
        <v>187</v>
      </c>
      <c r="D45" s="28">
        <v>5.8730226E7</v>
      </c>
      <c r="E45" s="28" t="s">
        <v>145</v>
      </c>
      <c r="H45" s="122" t="s">
        <v>139</v>
      </c>
      <c r="N45" s="75">
        <f t="shared" si="4"/>
        <v>0</v>
      </c>
      <c r="P45" s="28">
        <v>2.0</v>
      </c>
      <c r="Q45" s="44">
        <f t="shared" si="5"/>
        <v>2</v>
      </c>
    </row>
    <row r="46">
      <c r="A46" s="28"/>
      <c r="B46" s="28" t="s">
        <v>81</v>
      </c>
      <c r="C46" s="28" t="s">
        <v>79</v>
      </c>
      <c r="D46" s="28">
        <v>5.9283561E7</v>
      </c>
      <c r="E46" s="28" t="s">
        <v>80</v>
      </c>
      <c r="H46" s="122" t="s">
        <v>139</v>
      </c>
      <c r="N46" s="75">
        <f t="shared" si="4"/>
        <v>0</v>
      </c>
      <c r="P46" s="28">
        <v>2.0</v>
      </c>
      <c r="Q46" s="44">
        <f t="shared" si="5"/>
        <v>2</v>
      </c>
    </row>
    <row r="47">
      <c r="A47" s="28"/>
      <c r="B47" s="28" t="s">
        <v>81</v>
      </c>
      <c r="C47" s="123" t="s">
        <v>153</v>
      </c>
      <c r="D47" s="123">
        <v>5.853031E7</v>
      </c>
      <c r="E47" s="28" t="s">
        <v>39</v>
      </c>
      <c r="H47" s="122" t="s">
        <v>139</v>
      </c>
      <c r="N47" s="75">
        <f t="shared" si="4"/>
        <v>0</v>
      </c>
      <c r="P47" s="28">
        <v>2.0</v>
      </c>
      <c r="Q47" s="44">
        <f t="shared" si="5"/>
        <v>2</v>
      </c>
      <c r="R47" s="28" t="s">
        <v>188</v>
      </c>
    </row>
    <row r="52">
      <c r="A52" s="38" t="s">
        <v>173</v>
      </c>
      <c r="B52" s="38" t="s">
        <v>43</v>
      </c>
      <c r="C52" s="40" t="s">
        <v>45</v>
      </c>
      <c r="D52" s="39" t="s">
        <v>44</v>
      </c>
      <c r="E52" s="40" t="s">
        <v>25</v>
      </c>
      <c r="F52" s="103" t="s">
        <v>167</v>
      </c>
      <c r="G52" s="103" t="s">
        <v>168</v>
      </c>
      <c r="H52" s="103" t="s">
        <v>166</v>
      </c>
      <c r="I52" s="41" t="s">
        <v>52</v>
      </c>
      <c r="K52" s="42" t="s">
        <v>53</v>
      </c>
      <c r="L52" s="42" t="s">
        <v>54</v>
      </c>
      <c r="M52" s="42" t="s">
        <v>55</v>
      </c>
      <c r="N52" s="42" t="s">
        <v>56</v>
      </c>
      <c r="O52" s="42" t="s">
        <v>57</v>
      </c>
      <c r="P52" s="42" t="s">
        <v>58</v>
      </c>
      <c r="Q52" s="11" t="s">
        <v>59</v>
      </c>
    </row>
    <row r="53">
      <c r="A53" s="28">
        <v>1.0</v>
      </c>
      <c r="B53" s="75" t="s">
        <v>61</v>
      </c>
      <c r="C53" s="124" t="s">
        <v>189</v>
      </c>
      <c r="D53" s="125">
        <v>5.8522321E7</v>
      </c>
      <c r="E53" s="126"/>
      <c r="F53" s="127" t="s">
        <v>139</v>
      </c>
      <c r="G53" s="127" t="s">
        <v>139</v>
      </c>
      <c r="H53" s="122" t="s">
        <v>139</v>
      </c>
      <c r="I53" s="128"/>
      <c r="K53" s="129">
        <v>5.0</v>
      </c>
      <c r="L53" s="128"/>
      <c r="M53" s="129">
        <v>3.0</v>
      </c>
      <c r="N53" s="75">
        <f t="shared" ref="N53:N57" si="6">SUM(K53:M53)</f>
        <v>8</v>
      </c>
      <c r="Q53" s="130">
        <f t="shared" ref="Q53:Q57" si="7">SUM(N53:P53)</f>
        <v>8</v>
      </c>
    </row>
    <row r="54">
      <c r="A54" s="28">
        <v>2.0</v>
      </c>
      <c r="B54" s="75" t="s">
        <v>61</v>
      </c>
      <c r="C54" s="124" t="s">
        <v>67</v>
      </c>
      <c r="D54" s="125">
        <v>5.8520444E7</v>
      </c>
      <c r="E54" s="131" t="s">
        <v>68</v>
      </c>
      <c r="F54" s="132" t="s">
        <v>139</v>
      </c>
      <c r="G54" s="132" t="s">
        <v>139</v>
      </c>
      <c r="H54" s="122" t="s">
        <v>139</v>
      </c>
      <c r="I54" s="128"/>
      <c r="K54" s="129">
        <v>5.0</v>
      </c>
      <c r="L54" s="128"/>
      <c r="M54" s="129">
        <v>3.0</v>
      </c>
      <c r="N54" s="75">
        <f t="shared" si="6"/>
        <v>8</v>
      </c>
      <c r="Q54" s="130">
        <f t="shared" si="7"/>
        <v>8</v>
      </c>
    </row>
    <row r="55">
      <c r="A55" s="28">
        <v>3.0</v>
      </c>
      <c r="B55" s="75" t="s">
        <v>61</v>
      </c>
      <c r="C55" s="133" t="s">
        <v>87</v>
      </c>
      <c r="D55" s="106">
        <v>5.9301282E7</v>
      </c>
      <c r="E55" s="134" t="s">
        <v>88</v>
      </c>
      <c r="F55" s="132" t="s">
        <v>139</v>
      </c>
      <c r="G55" s="135"/>
      <c r="H55" s="122" t="s">
        <v>139</v>
      </c>
      <c r="I55" s="128"/>
      <c r="K55" s="129">
        <v>6.0</v>
      </c>
      <c r="L55" s="128"/>
      <c r="M55" s="129">
        <v>2.0</v>
      </c>
      <c r="N55" s="75">
        <f t="shared" si="6"/>
        <v>8</v>
      </c>
      <c r="Q55" s="130">
        <f t="shared" si="7"/>
        <v>8</v>
      </c>
    </row>
    <row r="56">
      <c r="A56" s="28">
        <v>4.0</v>
      </c>
      <c r="B56" s="75" t="s">
        <v>61</v>
      </c>
      <c r="C56" s="124" t="s">
        <v>190</v>
      </c>
      <c r="D56" s="125">
        <v>5.7883583E7</v>
      </c>
      <c r="E56" s="131" t="s">
        <v>63</v>
      </c>
      <c r="F56" s="135"/>
      <c r="G56" s="132" t="s">
        <v>139</v>
      </c>
      <c r="H56" s="122" t="s">
        <v>139</v>
      </c>
      <c r="I56" s="128"/>
      <c r="K56" s="129">
        <v>6.0</v>
      </c>
      <c r="L56" s="128"/>
      <c r="M56" s="129">
        <v>1.0</v>
      </c>
      <c r="N56" s="75">
        <f t="shared" si="6"/>
        <v>7</v>
      </c>
      <c r="Q56" s="130">
        <f t="shared" si="7"/>
        <v>7</v>
      </c>
    </row>
    <row r="57">
      <c r="A57" s="28">
        <v>5.0</v>
      </c>
      <c r="B57" s="75" t="s">
        <v>61</v>
      </c>
      <c r="C57" s="124" t="s">
        <v>191</v>
      </c>
      <c r="D57" s="125">
        <v>5.7534101E7</v>
      </c>
      <c r="E57" s="131" t="s">
        <v>192</v>
      </c>
      <c r="F57" s="135"/>
      <c r="G57" s="132" t="s">
        <v>139</v>
      </c>
      <c r="H57" s="122" t="s">
        <v>139</v>
      </c>
      <c r="I57" s="128"/>
      <c r="K57" s="129">
        <v>6.0</v>
      </c>
      <c r="L57" s="128"/>
      <c r="M57" s="129">
        <v>2.0</v>
      </c>
      <c r="N57" s="75">
        <f t="shared" si="6"/>
        <v>8</v>
      </c>
      <c r="Q57" s="130">
        <f t="shared" si="7"/>
        <v>8</v>
      </c>
    </row>
    <row r="60">
      <c r="A60" s="38"/>
      <c r="B60" s="38" t="s">
        <v>89</v>
      </c>
      <c r="C60" s="40" t="s">
        <v>45</v>
      </c>
      <c r="D60" s="39" t="s">
        <v>44</v>
      </c>
      <c r="E60" s="40" t="s">
        <v>25</v>
      </c>
      <c r="H60" s="103" t="s">
        <v>166</v>
      </c>
      <c r="K60" s="42" t="s">
        <v>53</v>
      </c>
      <c r="L60" s="42" t="s">
        <v>54</v>
      </c>
      <c r="M60" s="42" t="s">
        <v>55</v>
      </c>
      <c r="N60" s="42" t="s">
        <v>56</v>
      </c>
      <c r="O60" s="42" t="s">
        <v>57</v>
      </c>
      <c r="P60" s="42" t="s">
        <v>58</v>
      </c>
      <c r="Q60" s="11" t="s">
        <v>59</v>
      </c>
    </row>
    <row r="61">
      <c r="B61" s="28" t="s">
        <v>193</v>
      </c>
      <c r="C61" s="136" t="s">
        <v>141</v>
      </c>
      <c r="D61" s="137">
        <v>5.8786756E7</v>
      </c>
      <c r="E61" s="136" t="s">
        <v>101</v>
      </c>
      <c r="F61" s="138"/>
      <c r="G61" s="139"/>
      <c r="H61" s="28" t="s">
        <v>139</v>
      </c>
      <c r="P61" s="28">
        <v>2.0</v>
      </c>
      <c r="Q61" s="140">
        <v>2.0</v>
      </c>
    </row>
    <row r="62">
      <c r="B62" s="28" t="s">
        <v>193</v>
      </c>
      <c r="C62" s="141" t="s">
        <v>30</v>
      </c>
      <c r="D62" s="142">
        <v>5.865425E7</v>
      </c>
      <c r="E62" s="141" t="s">
        <v>101</v>
      </c>
      <c r="F62" s="143"/>
      <c r="G62" s="144"/>
      <c r="H62" s="28" t="s">
        <v>139</v>
      </c>
      <c r="P62" s="28">
        <v>2.0</v>
      </c>
      <c r="Q62" s="140">
        <v>2.0</v>
      </c>
    </row>
    <row r="63">
      <c r="B63" s="28" t="s">
        <v>81</v>
      </c>
      <c r="C63" s="145" t="s">
        <v>194</v>
      </c>
      <c r="D63" s="146">
        <v>5.9004982E7</v>
      </c>
      <c r="E63" s="28" t="s">
        <v>182</v>
      </c>
      <c r="F63" s="145"/>
      <c r="G63" s="147"/>
      <c r="H63" s="28" t="s">
        <v>139</v>
      </c>
      <c r="P63" s="28">
        <v>2.0</v>
      </c>
      <c r="Q63" s="140">
        <v>2.0</v>
      </c>
    </row>
    <row r="64">
      <c r="Q64" s="130"/>
    </row>
    <row r="66">
      <c r="L66" s="28" t="s">
        <v>60</v>
      </c>
      <c r="M66" s="75">
        <f>sum(K69:K99)</f>
        <v>172</v>
      </c>
    </row>
    <row r="67">
      <c r="A67" s="43" t="s">
        <v>195</v>
      </c>
    </row>
    <row r="68">
      <c r="B68" s="148" t="s">
        <v>132</v>
      </c>
      <c r="C68" s="148" t="s">
        <v>196</v>
      </c>
      <c r="D68" s="148" t="s">
        <v>44</v>
      </c>
      <c r="E68" s="148" t="s">
        <v>197</v>
      </c>
      <c r="F68" s="148" t="s">
        <v>198</v>
      </c>
      <c r="G68" s="148" t="s">
        <v>199</v>
      </c>
      <c r="H68" s="148" t="s">
        <v>200</v>
      </c>
      <c r="I68" s="148" t="s">
        <v>201</v>
      </c>
      <c r="J68" s="148" t="s">
        <v>202</v>
      </c>
      <c r="K68" s="148" t="s">
        <v>203</v>
      </c>
      <c r="L68" s="148"/>
    </row>
    <row r="69">
      <c r="A69" s="28">
        <v>1.0</v>
      </c>
      <c r="B69" s="75" t="s">
        <v>61</v>
      </c>
      <c r="C69" s="75" t="s">
        <v>141</v>
      </c>
      <c r="D69" s="75">
        <v>5.8786756E7</v>
      </c>
      <c r="E69" s="75" t="s">
        <v>101</v>
      </c>
      <c r="F69" s="75">
        <v>10.0</v>
      </c>
      <c r="I69" s="28"/>
      <c r="J69" s="28">
        <v>2.0</v>
      </c>
      <c r="K69" s="44">
        <f t="shared" ref="K69:K79" si="8">SUM(F69:J69)</f>
        <v>12</v>
      </c>
    </row>
    <row r="70">
      <c r="A70" s="28">
        <v>2.0</v>
      </c>
      <c r="B70" s="75" t="s">
        <v>61</v>
      </c>
      <c r="C70" s="75" t="s">
        <v>30</v>
      </c>
      <c r="D70" s="75">
        <v>5.865425E7</v>
      </c>
      <c r="E70" s="75" t="s">
        <v>101</v>
      </c>
      <c r="F70" s="75">
        <v>8.0</v>
      </c>
      <c r="I70" s="28"/>
      <c r="J70" s="28">
        <v>2.0</v>
      </c>
      <c r="K70" s="44">
        <f t="shared" si="8"/>
        <v>10</v>
      </c>
    </row>
    <row r="71">
      <c r="B71" s="75" t="s">
        <v>204</v>
      </c>
      <c r="C71" s="75" t="s">
        <v>171</v>
      </c>
      <c r="D71" s="149">
        <v>5.92947E7</v>
      </c>
      <c r="E71" s="75" t="s">
        <v>145</v>
      </c>
      <c r="G71" s="75">
        <v>8.0</v>
      </c>
      <c r="K71" s="44">
        <f t="shared" si="8"/>
        <v>8</v>
      </c>
    </row>
    <row r="72">
      <c r="A72" s="28">
        <v>3.0</v>
      </c>
      <c r="B72" s="75" t="s">
        <v>61</v>
      </c>
      <c r="C72" s="75" t="s">
        <v>158</v>
      </c>
      <c r="D72" s="75">
        <v>5.8618183E7</v>
      </c>
      <c r="E72" s="75" t="s">
        <v>155</v>
      </c>
      <c r="F72" s="75">
        <v>7.0</v>
      </c>
      <c r="K72" s="44">
        <f t="shared" si="8"/>
        <v>7</v>
      </c>
    </row>
    <row r="73">
      <c r="A73" s="28">
        <v>4.0</v>
      </c>
      <c r="B73" s="75" t="s">
        <v>61</v>
      </c>
      <c r="C73" s="75" t="s">
        <v>159</v>
      </c>
      <c r="D73" s="75">
        <v>5.8936204E7</v>
      </c>
      <c r="E73" s="75" t="s">
        <v>160</v>
      </c>
      <c r="F73" s="75">
        <v>7.0</v>
      </c>
      <c r="K73" s="44">
        <f t="shared" si="8"/>
        <v>7</v>
      </c>
    </row>
    <row r="74">
      <c r="A74" s="28">
        <v>5.0</v>
      </c>
      <c r="B74" s="75" t="s">
        <v>61</v>
      </c>
      <c r="C74" s="75" t="s">
        <v>105</v>
      </c>
      <c r="D74" s="75">
        <v>5.8607629E7</v>
      </c>
      <c r="E74" s="75" t="s">
        <v>106</v>
      </c>
      <c r="F74" s="75">
        <v>7.0</v>
      </c>
      <c r="K74" s="44">
        <f t="shared" si="8"/>
        <v>7</v>
      </c>
    </row>
    <row r="75">
      <c r="A75" s="28">
        <v>6.0</v>
      </c>
      <c r="B75" s="75" t="s">
        <v>61</v>
      </c>
      <c r="C75" s="75" t="s">
        <v>149</v>
      </c>
      <c r="D75" s="75">
        <v>5.9293609E7</v>
      </c>
      <c r="E75" s="75" t="s">
        <v>150</v>
      </c>
      <c r="F75" s="75">
        <v>7.0</v>
      </c>
      <c r="K75" s="44">
        <f t="shared" si="8"/>
        <v>7</v>
      </c>
    </row>
    <row r="76">
      <c r="A76" s="28">
        <v>7.0</v>
      </c>
      <c r="B76" s="75" t="s">
        <v>61</v>
      </c>
      <c r="C76" s="75" t="s">
        <v>151</v>
      </c>
      <c r="D76" s="75">
        <v>5.879469E7</v>
      </c>
      <c r="E76" s="75" t="s">
        <v>152</v>
      </c>
      <c r="F76" s="75">
        <v>7.0</v>
      </c>
      <c r="K76" s="44">
        <f t="shared" si="8"/>
        <v>7</v>
      </c>
    </row>
    <row r="77">
      <c r="A77" s="28">
        <v>8.0</v>
      </c>
      <c r="B77" s="75" t="s">
        <v>61</v>
      </c>
      <c r="C77" s="75" t="s">
        <v>174</v>
      </c>
      <c r="D77" s="75">
        <v>5.9304825E7</v>
      </c>
      <c r="E77" s="75" t="s">
        <v>175</v>
      </c>
      <c r="F77" s="75">
        <v>6.0</v>
      </c>
      <c r="K77" s="44">
        <f t="shared" si="8"/>
        <v>6</v>
      </c>
    </row>
    <row r="78">
      <c r="A78" s="28">
        <v>9.0</v>
      </c>
      <c r="B78" s="75" t="s">
        <v>61</v>
      </c>
      <c r="C78" s="75" t="s">
        <v>146</v>
      </c>
      <c r="D78" s="75">
        <v>5.8607445E7</v>
      </c>
      <c r="E78" s="75" t="s">
        <v>147</v>
      </c>
      <c r="F78" s="75">
        <v>6.0</v>
      </c>
      <c r="K78" s="44">
        <f t="shared" si="8"/>
        <v>6</v>
      </c>
    </row>
    <row r="79">
      <c r="A79" s="28">
        <v>10.0</v>
      </c>
      <c r="B79" s="75" t="s">
        <v>61</v>
      </c>
      <c r="C79" s="75" t="s">
        <v>138</v>
      </c>
      <c r="D79" s="75">
        <v>5.8665332E7</v>
      </c>
      <c r="E79" s="75" t="s">
        <v>103</v>
      </c>
      <c r="F79" s="75">
        <v>6.0</v>
      </c>
      <c r="K79" s="44">
        <f t="shared" si="8"/>
        <v>6</v>
      </c>
    </row>
    <row r="80">
      <c r="A80" s="28">
        <v>17.0</v>
      </c>
      <c r="B80" s="75" t="s">
        <v>81</v>
      </c>
      <c r="C80" s="75" t="s">
        <v>181</v>
      </c>
      <c r="D80" s="75">
        <v>5.9004982E7</v>
      </c>
      <c r="E80" s="75" t="s">
        <v>182</v>
      </c>
      <c r="F80" s="28">
        <v>1.0</v>
      </c>
      <c r="H80" s="28">
        <v>3.0</v>
      </c>
      <c r="J80" s="75">
        <v>2.0</v>
      </c>
      <c r="K80" s="44">
        <v>6.0</v>
      </c>
    </row>
    <row r="81">
      <c r="A81" s="28">
        <v>11.0</v>
      </c>
      <c r="B81" s="75" t="s">
        <v>61</v>
      </c>
      <c r="C81" s="75" t="s">
        <v>154</v>
      </c>
      <c r="D81" s="75">
        <v>5.9288256E7</v>
      </c>
      <c r="E81" s="75" t="s">
        <v>155</v>
      </c>
      <c r="F81" s="75">
        <v>5.0</v>
      </c>
      <c r="K81" s="44">
        <f t="shared" ref="K81:K86" si="9">SUM(F81:J81)</f>
        <v>5</v>
      </c>
    </row>
    <row r="82">
      <c r="A82" s="28">
        <v>12.0</v>
      </c>
      <c r="B82" s="75" t="s">
        <v>61</v>
      </c>
      <c r="C82" s="75" t="s">
        <v>142</v>
      </c>
      <c r="D82" s="75">
        <v>5.852165E7</v>
      </c>
      <c r="E82" s="75" t="s">
        <v>95</v>
      </c>
      <c r="F82" s="75">
        <v>5.0</v>
      </c>
      <c r="K82" s="44">
        <f t="shared" si="9"/>
        <v>5</v>
      </c>
    </row>
    <row r="83">
      <c r="A83" s="28">
        <v>13.0</v>
      </c>
      <c r="B83" s="75" t="s">
        <v>109</v>
      </c>
      <c r="C83" s="75" t="s">
        <v>176</v>
      </c>
      <c r="D83" s="75">
        <v>5.7313758E7</v>
      </c>
      <c r="E83" s="75" t="s">
        <v>177</v>
      </c>
      <c r="F83" s="75">
        <v>5.0</v>
      </c>
      <c r="K83" s="44">
        <f t="shared" si="9"/>
        <v>5</v>
      </c>
    </row>
    <row r="84">
      <c r="A84" s="28">
        <v>14.0</v>
      </c>
      <c r="B84" s="75" t="s">
        <v>109</v>
      </c>
      <c r="C84" s="75" t="s">
        <v>178</v>
      </c>
      <c r="D84" s="75">
        <v>5.8539339E7</v>
      </c>
      <c r="E84" s="75" t="s">
        <v>179</v>
      </c>
      <c r="F84" s="75">
        <v>4.0</v>
      </c>
      <c r="K84" s="44">
        <f t="shared" si="9"/>
        <v>4</v>
      </c>
    </row>
    <row r="85">
      <c r="A85" s="28">
        <v>15.0</v>
      </c>
      <c r="C85" s="75" t="s">
        <v>156</v>
      </c>
      <c r="D85" s="75">
        <v>5.852805E7</v>
      </c>
      <c r="E85" s="75" t="s">
        <v>157</v>
      </c>
      <c r="F85" s="75">
        <v>2.0</v>
      </c>
      <c r="K85" s="44">
        <f t="shared" si="9"/>
        <v>2</v>
      </c>
    </row>
    <row r="86">
      <c r="A86" s="28">
        <v>16.0</v>
      </c>
      <c r="B86" s="75" t="s">
        <v>81</v>
      </c>
      <c r="C86" s="75" t="s">
        <v>180</v>
      </c>
      <c r="D86" s="150">
        <v>6.017575E7</v>
      </c>
      <c r="E86" s="150" t="s">
        <v>116</v>
      </c>
      <c r="F86" s="150">
        <v>0.0</v>
      </c>
      <c r="H86" s="150">
        <v>2.0</v>
      </c>
      <c r="K86" s="44">
        <f t="shared" si="9"/>
        <v>2</v>
      </c>
      <c r="L86" s="150"/>
    </row>
    <row r="87">
      <c r="A87" s="28">
        <v>18.0</v>
      </c>
      <c r="B87" s="75" t="s">
        <v>183</v>
      </c>
      <c r="C87" s="75" t="s">
        <v>90</v>
      </c>
      <c r="D87" s="151">
        <v>5.858385E7</v>
      </c>
      <c r="E87" s="151" t="s">
        <v>91</v>
      </c>
      <c r="F87" s="151">
        <v>2.0</v>
      </c>
      <c r="K87" s="44">
        <f t="shared" ref="K87:K92" si="10">sum(F87:J87)</f>
        <v>2</v>
      </c>
      <c r="L87" s="152"/>
    </row>
    <row r="88">
      <c r="A88" s="28">
        <v>20.0</v>
      </c>
      <c r="B88" s="1" t="s">
        <v>81</v>
      </c>
      <c r="C88" s="1" t="s">
        <v>186</v>
      </c>
      <c r="D88" s="153">
        <v>5.9642212E7</v>
      </c>
      <c r="E88" s="60" t="s">
        <v>63</v>
      </c>
      <c r="F88" s="60"/>
      <c r="G88" s="60"/>
      <c r="H88" s="153">
        <v>2.0</v>
      </c>
      <c r="I88" s="60"/>
      <c r="J88" s="60"/>
      <c r="K88" s="47">
        <f t="shared" si="10"/>
        <v>2</v>
      </c>
      <c r="L88" s="154"/>
    </row>
    <row r="89">
      <c r="A89" s="28">
        <v>21.0</v>
      </c>
      <c r="B89" s="1" t="s">
        <v>81</v>
      </c>
      <c r="C89" s="1" t="s">
        <v>187</v>
      </c>
      <c r="D89" s="155">
        <v>5.8730226E7</v>
      </c>
      <c r="E89" s="156" t="s">
        <v>145</v>
      </c>
      <c r="F89" s="156"/>
      <c r="G89" s="156"/>
      <c r="H89" s="155">
        <v>2.0</v>
      </c>
      <c r="I89" s="156"/>
      <c r="J89" s="156"/>
      <c r="K89" s="47">
        <f t="shared" si="10"/>
        <v>2</v>
      </c>
      <c r="L89" s="155"/>
    </row>
    <row r="90">
      <c r="A90" s="28">
        <v>22.0</v>
      </c>
      <c r="B90" s="1" t="s">
        <v>81</v>
      </c>
      <c r="C90" s="1" t="s">
        <v>79</v>
      </c>
      <c r="D90" s="153">
        <v>5.9283561E7</v>
      </c>
      <c r="E90" s="60" t="s">
        <v>80</v>
      </c>
      <c r="F90" s="60"/>
      <c r="G90" s="60"/>
      <c r="H90" s="153">
        <v>2.0</v>
      </c>
      <c r="I90" s="60"/>
      <c r="J90" s="60"/>
      <c r="K90" s="47">
        <f t="shared" si="10"/>
        <v>2</v>
      </c>
      <c r="L90" s="153"/>
    </row>
    <row r="91">
      <c r="A91" s="28">
        <v>23.0</v>
      </c>
      <c r="B91" s="1" t="s">
        <v>81</v>
      </c>
      <c r="C91" s="1" t="s">
        <v>153</v>
      </c>
      <c r="D91" s="155">
        <v>5.853031E7</v>
      </c>
      <c r="E91" s="156" t="s">
        <v>39</v>
      </c>
      <c r="F91" s="156"/>
      <c r="G91" s="156"/>
      <c r="H91" s="155">
        <v>2.0</v>
      </c>
      <c r="I91" s="156"/>
      <c r="J91" s="156"/>
      <c r="K91" s="47">
        <f t="shared" si="10"/>
        <v>2</v>
      </c>
      <c r="L91" s="155"/>
    </row>
    <row r="92">
      <c r="A92" s="28">
        <v>19.0</v>
      </c>
      <c r="B92" s="75" t="s">
        <v>183</v>
      </c>
      <c r="C92" s="75" t="s">
        <v>184</v>
      </c>
      <c r="D92" s="150">
        <v>6.017655E7</v>
      </c>
      <c r="E92" s="150" t="s">
        <v>185</v>
      </c>
      <c r="F92" s="150">
        <v>1.0</v>
      </c>
      <c r="K92" s="44">
        <f t="shared" si="10"/>
        <v>1</v>
      </c>
      <c r="L92" s="150"/>
    </row>
    <row r="93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8"/>
      <c r="L93" s="159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</row>
    <row r="94">
      <c r="B94" s="75" t="s">
        <v>204</v>
      </c>
      <c r="C94" s="75" t="s">
        <v>143</v>
      </c>
      <c r="E94" s="150" t="s">
        <v>95</v>
      </c>
      <c r="I94" s="150">
        <v>10.0</v>
      </c>
      <c r="K94" s="43">
        <v>10.0</v>
      </c>
      <c r="L94" s="160"/>
    </row>
    <row r="95">
      <c r="A95" s="28">
        <v>1.0</v>
      </c>
      <c r="B95" s="75" t="s">
        <v>61</v>
      </c>
      <c r="C95" s="75" t="s">
        <v>189</v>
      </c>
      <c r="D95" s="151">
        <v>5.8522321E7</v>
      </c>
      <c r="E95" s="151" t="s">
        <v>205</v>
      </c>
      <c r="F95" s="151">
        <v>8.0</v>
      </c>
      <c r="K95" s="44">
        <f t="shared" ref="K95:K99" si="11">sum(F95:J95)</f>
        <v>8</v>
      </c>
      <c r="L95" s="152"/>
    </row>
    <row r="96">
      <c r="A96" s="28">
        <v>2.0</v>
      </c>
      <c r="B96" s="75" t="s">
        <v>61</v>
      </c>
      <c r="C96" s="75" t="s">
        <v>67</v>
      </c>
      <c r="D96" s="150">
        <v>5.8520444E7</v>
      </c>
      <c r="E96" s="150" t="s">
        <v>68</v>
      </c>
      <c r="F96" s="150">
        <v>8.0</v>
      </c>
      <c r="K96" s="44">
        <f t="shared" si="11"/>
        <v>8</v>
      </c>
      <c r="L96" s="161"/>
    </row>
    <row r="97">
      <c r="A97" s="28">
        <v>3.0</v>
      </c>
      <c r="B97" s="75" t="s">
        <v>61</v>
      </c>
      <c r="C97" s="75" t="s">
        <v>87</v>
      </c>
      <c r="D97" s="151">
        <v>5.9301282E7</v>
      </c>
      <c r="E97" s="151" t="s">
        <v>88</v>
      </c>
      <c r="F97" s="151">
        <v>8.0</v>
      </c>
      <c r="K97" s="44">
        <f t="shared" si="11"/>
        <v>8</v>
      </c>
      <c r="L97" s="151"/>
    </row>
    <row r="98">
      <c r="A98" s="28">
        <v>4.0</v>
      </c>
      <c r="B98" s="75" t="s">
        <v>61</v>
      </c>
      <c r="C98" s="75" t="s">
        <v>190</v>
      </c>
      <c r="D98" s="150">
        <v>5.7883583E7</v>
      </c>
      <c r="E98" s="150" t="s">
        <v>63</v>
      </c>
      <c r="F98" s="150">
        <v>7.0</v>
      </c>
      <c r="K98" s="44">
        <f t="shared" si="11"/>
        <v>7</v>
      </c>
      <c r="L98" s="161"/>
    </row>
    <row r="99">
      <c r="A99" s="28">
        <v>5.0</v>
      </c>
      <c r="B99" s="75" t="s">
        <v>61</v>
      </c>
      <c r="C99" s="75" t="s">
        <v>191</v>
      </c>
      <c r="D99" s="151">
        <v>5.7534101E7</v>
      </c>
      <c r="E99" s="151" t="s">
        <v>192</v>
      </c>
      <c r="F99" s="151">
        <v>8.0</v>
      </c>
      <c r="K99" s="44">
        <f t="shared" si="11"/>
        <v>8</v>
      </c>
      <c r="L99" s="151"/>
    </row>
    <row r="100">
      <c r="L100" s="150"/>
    </row>
    <row r="101">
      <c r="L101" s="151"/>
    </row>
    <row r="102">
      <c r="L102" s="150"/>
    </row>
    <row r="103">
      <c r="L103" s="151"/>
    </row>
    <row r="104">
      <c r="L104" s="150"/>
    </row>
    <row r="149" ht="22.5" customHeight="1">
      <c r="W149" s="162" t="s">
        <v>206</v>
      </c>
      <c r="X149" s="162" t="s">
        <v>207</v>
      </c>
      <c r="Y149" s="162" t="s">
        <v>208</v>
      </c>
    </row>
  </sheetData>
  <autoFilter ref="$A$67:$K$92">
    <sortState ref="A67:K92">
      <sortCondition descending="1" ref="K67:K92"/>
    </sortState>
  </autoFilter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3" max="3" width="27.88"/>
  </cols>
  <sheetData>
    <row r="1">
      <c r="A1" s="76" t="s">
        <v>132</v>
      </c>
      <c r="B1" s="77" t="s">
        <v>44</v>
      </c>
      <c r="C1" s="77" t="s">
        <v>45</v>
      </c>
      <c r="D1" s="77" t="s">
        <v>25</v>
      </c>
      <c r="E1" s="77" t="s">
        <v>209</v>
      </c>
      <c r="F1" s="77" t="s">
        <v>210</v>
      </c>
      <c r="G1" s="77" t="s">
        <v>211</v>
      </c>
      <c r="H1" s="77" t="s">
        <v>212</v>
      </c>
      <c r="I1" s="77" t="s">
        <v>213</v>
      </c>
      <c r="J1" s="79" t="s">
        <v>56</v>
      </c>
      <c r="K1" s="79" t="s">
        <v>57</v>
      </c>
      <c r="L1" s="80" t="s">
        <v>59</v>
      </c>
      <c r="M1" s="163" t="s">
        <v>131</v>
      </c>
      <c r="N1" s="56">
        <f>sum(L:L)</f>
        <v>49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64" t="s">
        <v>137</v>
      </c>
      <c r="B2" s="137">
        <v>5.9304929E7</v>
      </c>
      <c r="C2" s="81" t="s">
        <v>110</v>
      </c>
      <c r="D2" s="81" t="s">
        <v>99</v>
      </c>
      <c r="E2" s="165" t="s">
        <v>214</v>
      </c>
      <c r="F2" s="165" t="s">
        <v>214</v>
      </c>
      <c r="G2" s="81"/>
      <c r="H2" s="165" t="s">
        <v>214</v>
      </c>
      <c r="I2" s="165" t="s">
        <v>214</v>
      </c>
      <c r="J2" s="46">
        <f>ROUNDUP(COUNTIF(E2:I2,"✔")*2,0)</f>
        <v>8</v>
      </c>
      <c r="K2" s="1"/>
      <c r="L2" s="47">
        <f t="shared" ref="L2:L3" si="1">sum(J2:K2)</f>
        <v>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64" t="s">
        <v>137</v>
      </c>
      <c r="B3" s="164">
        <v>5.8786756E7</v>
      </c>
      <c r="C3" s="81" t="s">
        <v>100</v>
      </c>
      <c r="D3" s="81" t="s">
        <v>101</v>
      </c>
      <c r="E3" s="165" t="s">
        <v>214</v>
      </c>
      <c r="F3" s="165" t="s">
        <v>214</v>
      </c>
      <c r="G3" s="81"/>
      <c r="H3" s="165" t="s">
        <v>214</v>
      </c>
      <c r="I3" s="165" t="s">
        <v>214</v>
      </c>
      <c r="J3" s="46">
        <v>8.0</v>
      </c>
      <c r="K3" s="1"/>
      <c r="L3" s="47">
        <f t="shared" si="1"/>
        <v>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76" t="s">
        <v>132</v>
      </c>
      <c r="B5" s="77" t="s">
        <v>44</v>
      </c>
      <c r="C5" s="77" t="s">
        <v>45</v>
      </c>
      <c r="D5" s="77" t="s">
        <v>25</v>
      </c>
      <c r="E5" s="77" t="s">
        <v>209</v>
      </c>
      <c r="F5" s="77" t="s">
        <v>210</v>
      </c>
      <c r="G5" s="77" t="s">
        <v>211</v>
      </c>
      <c r="H5" s="77" t="s">
        <v>212</v>
      </c>
      <c r="I5" s="77" t="s">
        <v>213</v>
      </c>
      <c r="J5" s="79" t="s">
        <v>56</v>
      </c>
      <c r="K5" s="79" t="s">
        <v>57</v>
      </c>
      <c r="L5" s="80" t="s">
        <v>59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64" t="s">
        <v>215</v>
      </c>
      <c r="B6" s="164">
        <v>5.9303552E7</v>
      </c>
      <c r="C6" s="81" t="s">
        <v>117</v>
      </c>
      <c r="D6" s="166" t="s">
        <v>118</v>
      </c>
      <c r="E6" s="165" t="s">
        <v>214</v>
      </c>
      <c r="F6" s="165" t="s">
        <v>214</v>
      </c>
      <c r="G6" s="165" t="s">
        <v>214</v>
      </c>
      <c r="H6" s="165" t="s">
        <v>214</v>
      </c>
      <c r="I6" s="81"/>
      <c r="J6" s="46">
        <f t="shared" ref="J6:J8" si="2">ROUNDUP(COUNTIF(E6:I6,"✔")*1,0)</f>
        <v>4</v>
      </c>
      <c r="K6" s="1"/>
      <c r="L6" s="47">
        <f t="shared" ref="L6:L8" si="3">SUM(J6:K6)</f>
        <v>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64" t="s">
        <v>215</v>
      </c>
      <c r="B7" s="164">
        <v>5.8521742E7</v>
      </c>
      <c r="C7" s="81" t="s">
        <v>119</v>
      </c>
      <c r="D7" s="81" t="s">
        <v>95</v>
      </c>
      <c r="E7" s="165" t="s">
        <v>214</v>
      </c>
      <c r="F7" s="165" t="s">
        <v>214</v>
      </c>
      <c r="G7" s="81"/>
      <c r="H7" s="165" t="s">
        <v>214</v>
      </c>
      <c r="I7" s="165" t="s">
        <v>214</v>
      </c>
      <c r="J7" s="46">
        <f t="shared" si="2"/>
        <v>4</v>
      </c>
      <c r="K7" s="1"/>
      <c r="L7" s="47">
        <f t="shared" si="3"/>
        <v>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64" t="s">
        <v>215</v>
      </c>
      <c r="B8" s="164">
        <v>5.8607629E7</v>
      </c>
      <c r="C8" s="81" t="s">
        <v>105</v>
      </c>
      <c r="D8" s="81" t="s">
        <v>106</v>
      </c>
      <c r="E8" s="165" t="s">
        <v>214</v>
      </c>
      <c r="F8" s="165" t="s">
        <v>214</v>
      </c>
      <c r="G8" s="81"/>
      <c r="H8" s="165" t="s">
        <v>214</v>
      </c>
      <c r="I8" s="165" t="s">
        <v>214</v>
      </c>
      <c r="J8" s="46">
        <f t="shared" si="2"/>
        <v>4</v>
      </c>
      <c r="K8" s="1"/>
      <c r="L8" s="47">
        <f t="shared" si="3"/>
        <v>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67" t="s">
        <v>215</v>
      </c>
      <c r="B9" s="167">
        <v>5.8522321E7</v>
      </c>
      <c r="C9" s="167" t="s">
        <v>189</v>
      </c>
      <c r="D9" s="167" t="s">
        <v>205</v>
      </c>
      <c r="E9" s="165" t="s">
        <v>214</v>
      </c>
      <c r="F9" s="165" t="s">
        <v>214</v>
      </c>
      <c r="G9" s="81"/>
      <c r="H9" s="165" t="s">
        <v>214</v>
      </c>
      <c r="I9" s="165" t="s">
        <v>214</v>
      </c>
      <c r="J9" s="45">
        <v>4.0</v>
      </c>
      <c r="K9" s="1"/>
      <c r="L9" s="163">
        <v>4.0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64" t="s">
        <v>215</v>
      </c>
      <c r="B10" s="164">
        <v>5.852805E7</v>
      </c>
      <c r="C10" s="81" t="s">
        <v>156</v>
      </c>
      <c r="D10" s="81" t="s">
        <v>157</v>
      </c>
      <c r="E10" s="165" t="s">
        <v>214</v>
      </c>
      <c r="F10" s="81"/>
      <c r="G10" s="165" t="s">
        <v>214</v>
      </c>
      <c r="H10" s="81"/>
      <c r="I10" s="165" t="s">
        <v>214</v>
      </c>
      <c r="J10" s="46">
        <f t="shared" ref="J10:J20" si="4">ROUNDUP(COUNTIF(E10:I10,"✔")*1,0)</f>
        <v>3</v>
      </c>
      <c r="K10" s="1"/>
      <c r="L10" s="47">
        <f>SUM(J10:K10)</f>
        <v>3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64" t="s">
        <v>215</v>
      </c>
      <c r="B11" s="164">
        <v>5.853031E7</v>
      </c>
      <c r="C11" s="81" t="s">
        <v>153</v>
      </c>
      <c r="D11" s="81" t="s">
        <v>216</v>
      </c>
      <c r="E11" s="165" t="s">
        <v>214</v>
      </c>
      <c r="F11" s="81"/>
      <c r="G11" s="165" t="s">
        <v>214</v>
      </c>
      <c r="H11" s="81"/>
      <c r="I11" s="165" t="s">
        <v>214</v>
      </c>
      <c r="J11" s="46">
        <f t="shared" si="4"/>
        <v>3</v>
      </c>
      <c r="K11" s="1"/>
      <c r="L11" s="47">
        <v>3.0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64" t="s">
        <v>215</v>
      </c>
      <c r="B12" s="164">
        <v>5.879469E7</v>
      </c>
      <c r="C12" s="81" t="s">
        <v>98</v>
      </c>
      <c r="D12" s="81" t="s">
        <v>99</v>
      </c>
      <c r="E12" s="165" t="s">
        <v>214</v>
      </c>
      <c r="F12" s="81"/>
      <c r="G12" s="81"/>
      <c r="H12" s="165" t="s">
        <v>214</v>
      </c>
      <c r="I12" s="81"/>
      <c r="J12" s="46">
        <f t="shared" si="4"/>
        <v>2</v>
      </c>
      <c r="K12" s="1"/>
      <c r="L12" s="47">
        <f t="shared" ref="L12:L20" si="5">SUM(J12:K12)</f>
        <v>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64" t="s">
        <v>215</v>
      </c>
      <c r="B13" s="164">
        <v>5.858385E7</v>
      </c>
      <c r="C13" s="81" t="s">
        <v>217</v>
      </c>
      <c r="D13" s="81" t="s">
        <v>91</v>
      </c>
      <c r="E13" s="81"/>
      <c r="F13" s="165" t="s">
        <v>214</v>
      </c>
      <c r="G13" s="165" t="s">
        <v>214</v>
      </c>
      <c r="H13" s="81"/>
      <c r="I13" s="81"/>
      <c r="J13" s="46">
        <f t="shared" si="4"/>
        <v>2</v>
      </c>
      <c r="K13" s="1"/>
      <c r="L13" s="47">
        <f t="shared" si="5"/>
        <v>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64" t="s">
        <v>215</v>
      </c>
      <c r="B14" s="164">
        <v>5.8601963E7</v>
      </c>
      <c r="C14" s="81" t="s">
        <v>218</v>
      </c>
      <c r="D14" s="81" t="s">
        <v>93</v>
      </c>
      <c r="E14" s="165" t="s">
        <v>214</v>
      </c>
      <c r="F14" s="81"/>
      <c r="G14" s="81"/>
      <c r="H14" s="81"/>
      <c r="I14" s="81"/>
      <c r="J14" s="46">
        <f t="shared" si="4"/>
        <v>1</v>
      </c>
      <c r="K14" s="1"/>
      <c r="L14" s="47">
        <f t="shared" si="5"/>
        <v>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64" t="s">
        <v>215</v>
      </c>
      <c r="B15" s="164">
        <v>5.8575688E7</v>
      </c>
      <c r="C15" s="81" t="s">
        <v>219</v>
      </c>
      <c r="D15" s="81" t="s">
        <v>93</v>
      </c>
      <c r="E15" s="165" t="s">
        <v>214</v>
      </c>
      <c r="F15" s="81"/>
      <c r="G15" s="81"/>
      <c r="H15" s="81"/>
      <c r="I15" s="81"/>
      <c r="J15" s="46">
        <f t="shared" si="4"/>
        <v>1</v>
      </c>
      <c r="K15" s="1"/>
      <c r="L15" s="47">
        <f t="shared" si="5"/>
        <v>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64" t="s">
        <v>215</v>
      </c>
      <c r="B16" s="164">
        <v>5.8497196E7</v>
      </c>
      <c r="C16" s="81" t="s">
        <v>34</v>
      </c>
      <c r="D16" s="81" t="s">
        <v>91</v>
      </c>
      <c r="E16" s="81"/>
      <c r="F16" s="81"/>
      <c r="G16" s="165" t="s">
        <v>214</v>
      </c>
      <c r="H16" s="81"/>
      <c r="I16" s="81"/>
      <c r="J16" s="46">
        <f t="shared" si="4"/>
        <v>1</v>
      </c>
      <c r="K16" s="1"/>
      <c r="L16" s="47">
        <f t="shared" si="5"/>
        <v>1</v>
      </c>
      <c r="M16" s="1"/>
      <c r="N16" s="1"/>
      <c r="O16" s="1"/>
      <c r="P16" s="1"/>
      <c r="Q16" s="1"/>
    </row>
    <row r="17">
      <c r="A17" s="164" t="s">
        <v>215</v>
      </c>
      <c r="B17" s="164">
        <v>5.7942409E7</v>
      </c>
      <c r="C17" s="81" t="s">
        <v>220</v>
      </c>
      <c r="D17" s="81" t="s">
        <v>97</v>
      </c>
      <c r="E17" s="81"/>
      <c r="F17" s="81"/>
      <c r="G17" s="81"/>
      <c r="H17" s="81"/>
      <c r="I17" s="165" t="s">
        <v>214</v>
      </c>
      <c r="J17" s="46">
        <f t="shared" si="4"/>
        <v>1</v>
      </c>
      <c r="K17" s="1"/>
      <c r="L17" s="47">
        <f t="shared" si="5"/>
        <v>1</v>
      </c>
      <c r="M17" s="1"/>
      <c r="N17" s="1"/>
      <c r="O17" s="1"/>
      <c r="P17" s="1"/>
      <c r="Q17" s="1"/>
    </row>
    <row r="18">
      <c r="A18" s="164" t="s">
        <v>215</v>
      </c>
      <c r="B18" s="164">
        <v>5.8466564E7</v>
      </c>
      <c r="C18" s="81" t="s">
        <v>221</v>
      </c>
      <c r="D18" s="81" t="s">
        <v>222</v>
      </c>
      <c r="E18" s="81"/>
      <c r="F18" s="81"/>
      <c r="G18" s="81"/>
      <c r="H18" s="81"/>
      <c r="I18" s="165" t="s">
        <v>214</v>
      </c>
      <c r="J18" s="46">
        <f t="shared" si="4"/>
        <v>1</v>
      </c>
      <c r="K18" s="1"/>
      <c r="L18" s="47">
        <f t="shared" si="5"/>
        <v>1</v>
      </c>
      <c r="M18" s="1"/>
      <c r="N18" s="1"/>
      <c r="O18" s="1"/>
      <c r="P18" s="1"/>
      <c r="Q18" s="1"/>
    </row>
    <row r="19">
      <c r="A19" s="46" t="s">
        <v>215</v>
      </c>
      <c r="B19" s="46">
        <v>5.7931002E7</v>
      </c>
      <c r="C19" s="1" t="s">
        <v>223</v>
      </c>
      <c r="D19" s="1" t="s">
        <v>222</v>
      </c>
      <c r="E19" s="81"/>
      <c r="F19" s="81"/>
      <c r="G19" s="1"/>
      <c r="H19" s="81"/>
      <c r="I19" s="165" t="s">
        <v>214</v>
      </c>
      <c r="J19" s="46">
        <f t="shared" si="4"/>
        <v>1</v>
      </c>
      <c r="K19" s="1"/>
      <c r="L19" s="47">
        <f t="shared" si="5"/>
        <v>1</v>
      </c>
      <c r="M19" s="1"/>
      <c r="N19" s="1"/>
      <c r="O19" s="1"/>
      <c r="P19" s="1"/>
      <c r="Q19" s="1"/>
    </row>
    <row r="20">
      <c r="A20" s="164" t="s">
        <v>215</v>
      </c>
      <c r="B20" s="164">
        <v>6.017575E7</v>
      </c>
      <c r="C20" s="81" t="s">
        <v>115</v>
      </c>
      <c r="D20" s="81" t="s">
        <v>116</v>
      </c>
      <c r="E20" s="81"/>
      <c r="F20" s="81"/>
      <c r="G20" s="81"/>
      <c r="H20" s="81"/>
      <c r="I20" s="165" t="s">
        <v>214</v>
      </c>
      <c r="J20" s="164">
        <f t="shared" si="4"/>
        <v>1</v>
      </c>
      <c r="K20" s="81"/>
      <c r="L20" s="168">
        <f t="shared" si="5"/>
        <v>1</v>
      </c>
      <c r="M20" s="1"/>
      <c r="N20" s="1"/>
      <c r="O20" s="1"/>
      <c r="P20" s="1"/>
      <c r="Q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</sheetData>
  <autoFilter ref="$A$5:$L$20">
    <sortState ref="A5:L20">
      <sortCondition descending="1" ref="L5:L20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3" max="3" width="25.38"/>
  </cols>
  <sheetData>
    <row r="1">
      <c r="A1" s="92"/>
      <c r="B1" s="92"/>
      <c r="C1" s="2" t="s">
        <v>0</v>
      </c>
      <c r="D1" s="3" t="s">
        <v>1</v>
      </c>
      <c r="E1" s="93"/>
      <c r="F1" s="94"/>
      <c r="G1" s="94"/>
      <c r="H1" s="94"/>
      <c r="I1" s="94"/>
      <c r="J1" s="94"/>
      <c r="K1" s="94"/>
      <c r="L1" s="94"/>
      <c r="M1" s="94"/>
      <c r="N1" s="1"/>
      <c r="O1" s="1"/>
      <c r="P1" s="1"/>
      <c r="Q1" s="1"/>
      <c r="R1" s="1"/>
    </row>
    <row r="2">
      <c r="A2" s="92"/>
      <c r="B2" s="92"/>
      <c r="C2" s="2"/>
      <c r="D2" s="7" t="s">
        <v>2</v>
      </c>
      <c r="E2" s="93"/>
      <c r="F2" s="94"/>
      <c r="G2" s="94"/>
      <c r="H2" s="94"/>
      <c r="I2" s="94"/>
      <c r="J2" s="94"/>
      <c r="K2" s="94"/>
      <c r="L2" s="94"/>
      <c r="M2" s="94"/>
      <c r="N2" s="1"/>
      <c r="O2" s="1"/>
      <c r="P2" s="1"/>
      <c r="Q2" s="1"/>
      <c r="R2" s="1"/>
    </row>
    <row r="3">
      <c r="A3" s="92"/>
      <c r="B3" s="92"/>
      <c r="C3" s="2"/>
      <c r="D3" s="3" t="s">
        <v>3</v>
      </c>
      <c r="E3" s="93"/>
      <c r="F3" s="94"/>
      <c r="G3" s="94"/>
      <c r="H3" s="94"/>
      <c r="I3" s="94"/>
      <c r="J3" s="94"/>
      <c r="K3" s="94"/>
      <c r="L3" s="94"/>
      <c r="M3" s="94"/>
      <c r="N3" s="1"/>
      <c r="O3" s="1"/>
      <c r="P3" s="1"/>
      <c r="Q3" s="1"/>
      <c r="R3" s="1"/>
    </row>
    <row r="4">
      <c r="A4" s="92"/>
      <c r="B4" s="92"/>
      <c r="C4" s="2"/>
      <c r="D4" s="8" t="s">
        <v>4</v>
      </c>
      <c r="E4" s="93"/>
      <c r="F4" s="94"/>
      <c r="G4" s="94"/>
      <c r="H4" s="94"/>
      <c r="I4" s="94"/>
      <c r="J4" s="94"/>
      <c r="K4" s="94"/>
      <c r="L4" s="94"/>
      <c r="M4" s="94"/>
      <c r="N4" s="1"/>
      <c r="O4" s="1"/>
      <c r="P4" s="1"/>
      <c r="Q4" s="1"/>
      <c r="R4" s="1"/>
    </row>
    <row r="5">
      <c r="A5" s="92"/>
      <c r="B5" s="92"/>
      <c r="C5" s="2"/>
      <c r="D5" s="12" t="s">
        <v>5</v>
      </c>
      <c r="E5" s="93"/>
      <c r="F5" s="94"/>
      <c r="G5" s="94"/>
      <c r="H5" s="94"/>
      <c r="I5" s="94"/>
      <c r="J5" s="94"/>
      <c r="K5" s="94"/>
      <c r="L5" s="94"/>
      <c r="M5" s="94"/>
      <c r="N5" s="1"/>
      <c r="O5" s="1"/>
      <c r="P5" s="1"/>
      <c r="Q5" s="1"/>
      <c r="R5" s="1"/>
    </row>
    <row r="6">
      <c r="A6" s="92"/>
      <c r="B6" s="92"/>
      <c r="C6" s="2"/>
      <c r="D6" s="12"/>
      <c r="E6" s="93"/>
      <c r="F6" s="93"/>
      <c r="G6" s="93"/>
      <c r="H6" s="93"/>
      <c r="I6" s="93"/>
      <c r="J6" s="93"/>
      <c r="K6" s="93"/>
      <c r="L6" s="93"/>
      <c r="M6" s="93"/>
      <c r="N6" s="1"/>
      <c r="O6" s="1"/>
      <c r="P6" s="1"/>
      <c r="Q6" s="1"/>
      <c r="R6" s="1"/>
    </row>
    <row r="7">
      <c r="A7" s="92"/>
      <c r="B7" s="92"/>
      <c r="C7" s="2"/>
      <c r="D7" s="16" t="s">
        <v>6</v>
      </c>
      <c r="E7" s="93"/>
      <c r="F7" s="94"/>
      <c r="G7" s="94"/>
      <c r="H7" s="94"/>
      <c r="I7" s="94"/>
      <c r="J7" s="94"/>
      <c r="K7" s="94"/>
      <c r="L7" s="94"/>
      <c r="M7" s="94"/>
      <c r="N7" s="1"/>
      <c r="O7" s="1"/>
      <c r="P7" s="1"/>
      <c r="Q7" s="1"/>
      <c r="R7" s="1"/>
    </row>
    <row r="8">
      <c r="A8" s="92"/>
      <c r="B8" s="92"/>
      <c r="C8" s="19"/>
      <c r="D8" s="20" t="s">
        <v>7</v>
      </c>
      <c r="H8" s="30"/>
      <c r="I8" s="30"/>
      <c r="J8" s="30"/>
      <c r="K8" s="30"/>
    </row>
    <row r="9">
      <c r="A9" s="92"/>
      <c r="B9" s="92"/>
      <c r="C9" s="19"/>
      <c r="D9" s="20" t="s">
        <v>8</v>
      </c>
      <c r="H9" s="30"/>
      <c r="I9" s="30"/>
      <c r="J9" s="30"/>
      <c r="K9" s="30"/>
    </row>
    <row r="10">
      <c r="A10" s="92"/>
      <c r="B10" s="92"/>
      <c r="C10" s="19"/>
      <c r="D10" s="20" t="s">
        <v>9</v>
      </c>
      <c r="H10" s="30"/>
      <c r="I10" s="30"/>
      <c r="J10" s="30"/>
      <c r="K10" s="30"/>
    </row>
    <row r="11">
      <c r="A11" s="92"/>
      <c r="B11" s="92"/>
      <c r="C11" s="19"/>
      <c r="D11" s="19" t="s">
        <v>10</v>
      </c>
      <c r="E11" s="19"/>
      <c r="F11" s="19"/>
      <c r="G11" s="19"/>
      <c r="H11" s="19"/>
      <c r="I11" s="19"/>
      <c r="J11" s="19"/>
      <c r="K11" s="19"/>
      <c r="L11" s="19"/>
      <c r="M11" s="19"/>
    </row>
    <row r="12">
      <c r="A12" s="92"/>
      <c r="B12" s="92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T12" s="43" t="s">
        <v>224</v>
      </c>
      <c r="U12" s="44">
        <f>sum(S:S)</f>
        <v>79</v>
      </c>
    </row>
    <row r="13">
      <c r="A13" s="92"/>
      <c r="B13" s="92"/>
      <c r="C13" s="24" t="s">
        <v>13</v>
      </c>
      <c r="F13" s="25" t="s">
        <v>14</v>
      </c>
      <c r="G13" s="95"/>
      <c r="H13" s="95"/>
      <c r="I13" s="95"/>
      <c r="J13" s="95"/>
      <c r="K13" s="95"/>
      <c r="L13" s="96"/>
      <c r="M13" s="96"/>
      <c r="N13" s="96"/>
      <c r="O13" s="96"/>
      <c r="P13" s="96"/>
      <c r="Q13" s="97"/>
      <c r="R13" s="96"/>
    </row>
    <row r="14">
      <c r="A14" s="98"/>
      <c r="E14" s="99" t="s">
        <v>25</v>
      </c>
    </row>
    <row r="15">
      <c r="A15" s="92"/>
      <c r="B15" s="98" t="s">
        <v>129</v>
      </c>
      <c r="C15" s="141" t="s">
        <v>105</v>
      </c>
      <c r="D15" s="169">
        <v>5.8607629E7</v>
      </c>
      <c r="E15" s="170" t="s">
        <v>106</v>
      </c>
      <c r="F15" s="171">
        <v>3.0</v>
      </c>
      <c r="G15" s="102"/>
      <c r="H15" s="102"/>
      <c r="I15" s="102"/>
      <c r="J15" s="102"/>
      <c r="K15" s="102"/>
      <c r="L15" s="102"/>
      <c r="M15" s="28"/>
      <c r="N15" s="28"/>
      <c r="O15" s="28"/>
      <c r="P15" s="96"/>
      <c r="Q15" s="96"/>
      <c r="R15" s="96"/>
      <c r="S15" s="96"/>
    </row>
    <row r="17">
      <c r="A17" s="98"/>
      <c r="F17" s="103" t="s">
        <v>225</v>
      </c>
      <c r="G17" s="103" t="s">
        <v>226</v>
      </c>
      <c r="H17" s="103" t="s">
        <v>227</v>
      </c>
      <c r="I17" s="103" t="s">
        <v>228</v>
      </c>
      <c r="J17" s="103" t="s">
        <v>229</v>
      </c>
      <c r="K17" s="103" t="s">
        <v>230</v>
      </c>
      <c r="L17" s="103"/>
      <c r="M17" s="103"/>
      <c r="N17" s="103"/>
      <c r="O17" s="103"/>
      <c r="P17" s="42" t="s">
        <v>53</v>
      </c>
      <c r="Q17" s="42" t="s">
        <v>54</v>
      </c>
      <c r="R17" s="42" t="s">
        <v>55</v>
      </c>
      <c r="S17" s="42" t="s">
        <v>56</v>
      </c>
      <c r="T17" s="42" t="s">
        <v>57</v>
      </c>
      <c r="U17" s="42" t="s">
        <v>58</v>
      </c>
    </row>
    <row r="18">
      <c r="B18" s="98" t="s">
        <v>125</v>
      </c>
      <c r="C18" s="134" t="s">
        <v>141</v>
      </c>
      <c r="D18" s="106">
        <v>5.8786756E7</v>
      </c>
      <c r="E18" s="134" t="s">
        <v>101</v>
      </c>
      <c r="F18" s="97" t="s">
        <v>139</v>
      </c>
      <c r="G18" s="97" t="s">
        <v>139</v>
      </c>
      <c r="H18" s="97" t="s">
        <v>139</v>
      </c>
      <c r="I18" s="97" t="s">
        <v>139</v>
      </c>
      <c r="J18" s="97" t="s">
        <v>139</v>
      </c>
      <c r="K18" s="97" t="s">
        <v>139</v>
      </c>
      <c r="L18" s="97"/>
      <c r="M18" s="172"/>
      <c r="N18" s="172"/>
      <c r="O18" s="172"/>
      <c r="P18" s="102">
        <v>6.0</v>
      </c>
      <c r="Q18" s="96"/>
      <c r="R18" s="96">
        <v>3.0</v>
      </c>
      <c r="S18" s="44">
        <f>SUM(P18:R18)</f>
        <v>9</v>
      </c>
      <c r="T18" s="96"/>
      <c r="U18" s="96"/>
    </row>
    <row r="19">
      <c r="B19" s="98"/>
      <c r="D19" s="109"/>
      <c r="F19" s="173"/>
      <c r="G19" s="174"/>
      <c r="H19" s="174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5"/>
      <c r="T19" s="175"/>
    </row>
    <row r="20">
      <c r="M20" s="111"/>
    </row>
    <row r="21">
      <c r="A21" s="38" t="s">
        <v>173</v>
      </c>
      <c r="B21" s="39" t="s">
        <v>89</v>
      </c>
      <c r="C21" s="40" t="s">
        <v>45</v>
      </c>
      <c r="D21" s="39" t="s">
        <v>44</v>
      </c>
      <c r="E21" s="40" t="s">
        <v>25</v>
      </c>
      <c r="F21" s="103" t="s">
        <v>225</v>
      </c>
      <c r="G21" s="103" t="s">
        <v>226</v>
      </c>
      <c r="H21" s="103" t="s">
        <v>227</v>
      </c>
      <c r="I21" s="103" t="s">
        <v>228</v>
      </c>
      <c r="J21" s="103" t="s">
        <v>229</v>
      </c>
      <c r="K21" s="103" t="s">
        <v>230</v>
      </c>
      <c r="L21" s="41" t="s">
        <v>52</v>
      </c>
      <c r="M21" s="42" t="s">
        <v>53</v>
      </c>
      <c r="N21" s="42" t="s">
        <v>54</v>
      </c>
      <c r="O21" s="42" t="s">
        <v>55</v>
      </c>
      <c r="P21" s="42" t="s">
        <v>56</v>
      </c>
      <c r="Q21" s="42" t="s">
        <v>57</v>
      </c>
      <c r="R21" s="42" t="s">
        <v>58</v>
      </c>
      <c r="S21" s="11" t="s">
        <v>59</v>
      </c>
    </row>
    <row r="22">
      <c r="B22" s="28" t="s">
        <v>61</v>
      </c>
      <c r="C22" s="136" t="s">
        <v>110</v>
      </c>
      <c r="D22" s="137">
        <v>5.9304929E7</v>
      </c>
      <c r="E22" s="136" t="s">
        <v>99</v>
      </c>
      <c r="G22" s="28" t="s">
        <v>139</v>
      </c>
      <c r="H22" s="28" t="s">
        <v>139</v>
      </c>
      <c r="I22" s="28" t="s">
        <v>139</v>
      </c>
      <c r="J22" s="28" t="s">
        <v>139</v>
      </c>
      <c r="K22" s="28" t="s">
        <v>139</v>
      </c>
      <c r="M22" s="28">
        <v>6.0</v>
      </c>
      <c r="N22" s="28">
        <v>1.0</v>
      </c>
      <c r="O22" s="75">
        <f t="shared" ref="O22:O29" si="1">ROUNDUP((COUNTIF(F22:J22,"Y")/5)*3,0)</f>
        <v>3</v>
      </c>
      <c r="P22" s="75">
        <f t="shared" ref="P22:P29" si="2">SUM(M22:O22)</f>
        <v>10</v>
      </c>
      <c r="S22" s="44">
        <f t="shared" ref="S22:S29" si="3">SUM(P22:R22)</f>
        <v>10</v>
      </c>
    </row>
    <row r="23">
      <c r="B23" s="28" t="s">
        <v>61</v>
      </c>
      <c r="C23" s="134" t="s">
        <v>30</v>
      </c>
      <c r="D23" s="106">
        <v>5.865425E7</v>
      </c>
      <c r="E23" s="134" t="s">
        <v>101</v>
      </c>
      <c r="F23" s="28" t="s">
        <v>139</v>
      </c>
      <c r="G23" s="28" t="s">
        <v>139</v>
      </c>
      <c r="H23" s="28" t="s">
        <v>139</v>
      </c>
      <c r="I23" s="28" t="s">
        <v>139</v>
      </c>
      <c r="J23" s="28" t="s">
        <v>139</v>
      </c>
      <c r="K23" s="28" t="s">
        <v>139</v>
      </c>
      <c r="M23" s="28">
        <v>6.0</v>
      </c>
      <c r="O23" s="75">
        <f t="shared" si="1"/>
        <v>3</v>
      </c>
      <c r="P23" s="75">
        <f t="shared" si="2"/>
        <v>9</v>
      </c>
      <c r="S23" s="44">
        <f t="shared" si="3"/>
        <v>9</v>
      </c>
    </row>
    <row r="24">
      <c r="B24" s="28" t="s">
        <v>61</v>
      </c>
      <c r="C24" s="131" t="s">
        <v>156</v>
      </c>
      <c r="D24" s="125">
        <v>5.852805E7</v>
      </c>
      <c r="E24" s="131" t="s">
        <v>177</v>
      </c>
      <c r="G24" s="28" t="s">
        <v>139</v>
      </c>
      <c r="H24" s="28" t="s">
        <v>139</v>
      </c>
      <c r="I24" s="28" t="s">
        <v>139</v>
      </c>
      <c r="K24" s="28" t="s">
        <v>139</v>
      </c>
      <c r="M24" s="28">
        <v>6.0</v>
      </c>
      <c r="O24" s="75">
        <f t="shared" si="1"/>
        <v>2</v>
      </c>
      <c r="P24" s="75">
        <f t="shared" si="2"/>
        <v>8</v>
      </c>
      <c r="S24" s="44">
        <f t="shared" si="3"/>
        <v>8</v>
      </c>
    </row>
    <row r="25">
      <c r="B25" s="28" t="s">
        <v>109</v>
      </c>
      <c r="C25" s="134" t="s">
        <v>90</v>
      </c>
      <c r="D25" s="106">
        <v>5.858385E7</v>
      </c>
      <c r="E25" s="134" t="s">
        <v>91</v>
      </c>
      <c r="F25" s="28" t="s">
        <v>139</v>
      </c>
      <c r="G25" s="28" t="s">
        <v>139</v>
      </c>
      <c r="H25" s="28" t="s">
        <v>139</v>
      </c>
      <c r="I25" s="28" t="s">
        <v>139</v>
      </c>
      <c r="J25" s="28" t="s">
        <v>139</v>
      </c>
      <c r="K25" s="28" t="s">
        <v>139</v>
      </c>
      <c r="M25" s="28">
        <v>2.0</v>
      </c>
      <c r="O25" s="75">
        <f t="shared" si="1"/>
        <v>3</v>
      </c>
      <c r="P25" s="75">
        <f t="shared" si="2"/>
        <v>5</v>
      </c>
      <c r="S25" s="44">
        <f t="shared" si="3"/>
        <v>5</v>
      </c>
    </row>
    <row r="26">
      <c r="B26" s="28" t="s">
        <v>183</v>
      </c>
      <c r="C26" s="134" t="s">
        <v>115</v>
      </c>
      <c r="D26" s="106">
        <v>6.017575E7</v>
      </c>
      <c r="E26" s="134" t="s">
        <v>116</v>
      </c>
      <c r="J26" s="28" t="s">
        <v>139</v>
      </c>
      <c r="M26" s="28">
        <v>0.0</v>
      </c>
      <c r="O26" s="75">
        <f t="shared" si="1"/>
        <v>1</v>
      </c>
      <c r="P26" s="75">
        <f t="shared" si="2"/>
        <v>1</v>
      </c>
      <c r="S26" s="44">
        <f t="shared" si="3"/>
        <v>1</v>
      </c>
    </row>
    <row r="27">
      <c r="B27" s="28" t="s">
        <v>183</v>
      </c>
      <c r="C27" s="134" t="s">
        <v>143</v>
      </c>
      <c r="D27" s="106">
        <v>5.8521742E7</v>
      </c>
      <c r="E27" s="134" t="s">
        <v>95</v>
      </c>
      <c r="F27" s="115"/>
      <c r="G27" s="115"/>
      <c r="H27" s="28" t="s">
        <v>139</v>
      </c>
      <c r="M27" s="28">
        <v>0.0</v>
      </c>
      <c r="O27" s="75">
        <f t="shared" si="1"/>
        <v>1</v>
      </c>
      <c r="P27" s="75">
        <f t="shared" si="2"/>
        <v>1</v>
      </c>
      <c r="S27" s="44">
        <f t="shared" si="3"/>
        <v>1</v>
      </c>
    </row>
    <row r="28">
      <c r="B28" s="28" t="s">
        <v>183</v>
      </c>
      <c r="C28" s="131" t="s">
        <v>218</v>
      </c>
      <c r="D28" s="125">
        <v>5.8601963E7</v>
      </c>
      <c r="E28" s="131" t="s">
        <v>93</v>
      </c>
      <c r="F28" s="176" t="s">
        <v>139</v>
      </c>
      <c r="G28" s="177"/>
      <c r="M28" s="28">
        <v>0.0</v>
      </c>
      <c r="O28" s="75">
        <f t="shared" si="1"/>
        <v>1</v>
      </c>
      <c r="P28" s="75">
        <f t="shared" si="2"/>
        <v>1</v>
      </c>
      <c r="S28" s="44">
        <f t="shared" si="3"/>
        <v>1</v>
      </c>
    </row>
    <row r="29">
      <c r="B29" s="28" t="s">
        <v>183</v>
      </c>
      <c r="C29" s="178" t="s">
        <v>34</v>
      </c>
      <c r="D29" s="179">
        <v>5.8497196E7</v>
      </c>
      <c r="E29" s="178" t="s">
        <v>91</v>
      </c>
      <c r="F29" s="180" t="s">
        <v>139</v>
      </c>
      <c r="G29" s="181"/>
      <c r="M29" s="28">
        <v>0.0</v>
      </c>
      <c r="O29" s="75">
        <f t="shared" si="1"/>
        <v>1</v>
      </c>
      <c r="P29" s="75">
        <f t="shared" si="2"/>
        <v>1</v>
      </c>
      <c r="S29" s="44">
        <f t="shared" si="3"/>
        <v>1</v>
      </c>
    </row>
    <row r="30">
      <c r="B30" s="28" t="s">
        <v>183</v>
      </c>
      <c r="C30" s="151" t="s">
        <v>158</v>
      </c>
      <c r="D30" s="151">
        <v>5.8618183E7</v>
      </c>
      <c r="E30" s="151" t="s">
        <v>155</v>
      </c>
      <c r="F30" s="176"/>
      <c r="G30" s="176" t="s">
        <v>139</v>
      </c>
      <c r="M30" s="28">
        <v>0.0</v>
      </c>
      <c r="O30" s="28">
        <v>1.0</v>
      </c>
      <c r="P30" s="28">
        <v>1.0</v>
      </c>
      <c r="S30" s="43">
        <v>1.0</v>
      </c>
    </row>
    <row r="31">
      <c r="B31" s="28" t="s">
        <v>183</v>
      </c>
      <c r="C31" s="131" t="s">
        <v>96</v>
      </c>
      <c r="D31" s="125">
        <v>5.7942409E7</v>
      </c>
      <c r="E31" s="131" t="s">
        <v>97</v>
      </c>
      <c r="F31" s="180" t="s">
        <v>139</v>
      </c>
      <c r="G31" s="181"/>
      <c r="M31" s="28">
        <v>0.0</v>
      </c>
      <c r="O31" s="75">
        <f>ROUNDUP((COUNTIF(F31:J31,"Y")/5)*3,0)</f>
        <v>1</v>
      </c>
      <c r="P31" s="75">
        <f>SUM(M31:O31)</f>
        <v>1</v>
      </c>
      <c r="S31" s="44">
        <f>SUM(P31:R31)</f>
        <v>1</v>
      </c>
    </row>
    <row r="33">
      <c r="A33" s="38" t="s">
        <v>173</v>
      </c>
      <c r="B33" s="38" t="s">
        <v>43</v>
      </c>
      <c r="C33" s="40" t="s">
        <v>45</v>
      </c>
      <c r="D33" s="39" t="s">
        <v>44</v>
      </c>
      <c r="E33" s="40" t="s">
        <v>25</v>
      </c>
      <c r="F33" s="103" t="s">
        <v>225</v>
      </c>
      <c r="G33" s="103" t="s">
        <v>226</v>
      </c>
      <c r="H33" s="103" t="s">
        <v>227</v>
      </c>
      <c r="I33" s="103" t="s">
        <v>228</v>
      </c>
      <c r="J33" s="103" t="s">
        <v>229</v>
      </c>
      <c r="K33" s="103" t="s">
        <v>230</v>
      </c>
      <c r="L33" s="41" t="s">
        <v>52</v>
      </c>
      <c r="M33" s="42" t="s">
        <v>53</v>
      </c>
      <c r="N33" s="42" t="s">
        <v>54</v>
      </c>
      <c r="O33" s="42" t="s">
        <v>55</v>
      </c>
      <c r="P33" s="42" t="s">
        <v>56</v>
      </c>
      <c r="Q33" s="42" t="s">
        <v>57</v>
      </c>
      <c r="R33" s="42" t="s">
        <v>58</v>
      </c>
      <c r="S33" s="11" t="s">
        <v>59</v>
      </c>
    </row>
    <row r="34">
      <c r="B34" s="28" t="s">
        <v>61</v>
      </c>
      <c r="C34" s="182" t="s">
        <v>189</v>
      </c>
      <c r="D34" s="182">
        <v>5.8522321E7</v>
      </c>
      <c r="E34" s="182" t="s">
        <v>205</v>
      </c>
      <c r="G34" s="28" t="s">
        <v>139</v>
      </c>
      <c r="H34" s="28" t="s">
        <v>139</v>
      </c>
      <c r="I34" s="28" t="s">
        <v>139</v>
      </c>
      <c r="J34" s="28" t="s">
        <v>139</v>
      </c>
      <c r="K34" s="28" t="s">
        <v>139</v>
      </c>
      <c r="M34" s="28">
        <v>6.0</v>
      </c>
      <c r="O34" s="75">
        <f t="shared" ref="O34:O40" si="4">ROUNDUP((COUNTIF(F34:J34,"Y")/5)*3,0)</f>
        <v>3</v>
      </c>
      <c r="P34" s="75">
        <f t="shared" ref="P34:P40" si="5">SUM(M34:O34)</f>
        <v>9</v>
      </c>
      <c r="S34" s="44">
        <f t="shared" ref="S34:S35" si="6">SUM(P34:R34)</f>
        <v>9</v>
      </c>
    </row>
    <row r="35">
      <c r="B35" s="28" t="s">
        <v>61</v>
      </c>
      <c r="C35" s="183" t="s">
        <v>231</v>
      </c>
      <c r="D35" s="184">
        <v>5.8612246E7</v>
      </c>
      <c r="E35" s="183" t="s">
        <v>232</v>
      </c>
      <c r="G35" s="28" t="s">
        <v>139</v>
      </c>
      <c r="I35" s="28" t="s">
        <v>139</v>
      </c>
      <c r="K35" s="28" t="s">
        <v>139</v>
      </c>
      <c r="M35" s="28">
        <v>6.0</v>
      </c>
      <c r="O35" s="75">
        <f t="shared" si="4"/>
        <v>2</v>
      </c>
      <c r="P35" s="75">
        <f t="shared" si="5"/>
        <v>8</v>
      </c>
      <c r="S35" s="44">
        <f t="shared" si="6"/>
        <v>8</v>
      </c>
    </row>
    <row r="36">
      <c r="B36" s="28" t="s">
        <v>61</v>
      </c>
      <c r="C36" s="185" t="s">
        <v>77</v>
      </c>
      <c r="D36" s="28">
        <v>5.7853867E7</v>
      </c>
      <c r="E36" s="185" t="s">
        <v>78</v>
      </c>
      <c r="G36" s="28" t="s">
        <v>139</v>
      </c>
      <c r="H36" s="28" t="s">
        <v>139</v>
      </c>
      <c r="J36" s="28" t="s">
        <v>139</v>
      </c>
      <c r="K36" s="28" t="s">
        <v>139</v>
      </c>
      <c r="M36" s="28">
        <v>6.0</v>
      </c>
      <c r="O36" s="75">
        <f t="shared" si="4"/>
        <v>2</v>
      </c>
      <c r="P36" s="75">
        <f t="shared" si="5"/>
        <v>8</v>
      </c>
      <c r="S36" s="43">
        <v>8.0</v>
      </c>
    </row>
    <row r="37">
      <c r="B37" s="28" t="s">
        <v>109</v>
      </c>
      <c r="C37" s="28" t="s">
        <v>87</v>
      </c>
      <c r="D37" s="137">
        <v>5.9301282E7</v>
      </c>
      <c r="E37" s="136" t="s">
        <v>88</v>
      </c>
      <c r="K37" s="28" t="s">
        <v>139</v>
      </c>
      <c r="M37" s="28">
        <v>2.0</v>
      </c>
      <c r="O37" s="75">
        <f t="shared" si="4"/>
        <v>0</v>
      </c>
      <c r="P37" s="75">
        <f t="shared" si="5"/>
        <v>2</v>
      </c>
      <c r="S37" s="44">
        <f t="shared" ref="S37:S40" si="7">SUM(P37:R37)</f>
        <v>2</v>
      </c>
    </row>
    <row r="38">
      <c r="B38" s="28" t="s">
        <v>183</v>
      </c>
      <c r="C38" s="136" t="s">
        <v>233</v>
      </c>
      <c r="D38" s="137">
        <v>5.8730226E7</v>
      </c>
      <c r="E38" s="136" t="s">
        <v>145</v>
      </c>
      <c r="F38" s="186" t="s">
        <v>139</v>
      </c>
      <c r="G38" s="186" t="s">
        <v>139</v>
      </c>
      <c r="O38" s="75">
        <f t="shared" si="4"/>
        <v>2</v>
      </c>
      <c r="P38" s="75">
        <f t="shared" si="5"/>
        <v>2</v>
      </c>
      <c r="S38" s="44">
        <f t="shared" si="7"/>
        <v>2</v>
      </c>
    </row>
    <row r="39">
      <c r="B39" s="28" t="s">
        <v>183</v>
      </c>
      <c r="C39" s="187" t="s">
        <v>234</v>
      </c>
      <c r="D39" s="149">
        <v>5.92947E7</v>
      </c>
      <c r="E39" s="187" t="s">
        <v>145</v>
      </c>
      <c r="F39" s="186" t="s">
        <v>139</v>
      </c>
      <c r="G39" s="186" t="s">
        <v>139</v>
      </c>
      <c r="O39" s="75">
        <f t="shared" si="4"/>
        <v>2</v>
      </c>
      <c r="P39" s="75">
        <f t="shared" si="5"/>
        <v>2</v>
      </c>
      <c r="S39" s="44">
        <f t="shared" si="7"/>
        <v>2</v>
      </c>
    </row>
    <row r="40">
      <c r="B40" s="28" t="s">
        <v>183</v>
      </c>
      <c r="C40" s="188" t="s">
        <v>153</v>
      </c>
      <c r="D40" s="189">
        <v>5.853031E7</v>
      </c>
      <c r="E40" s="188" t="s">
        <v>235</v>
      </c>
      <c r="F40" s="190" t="s">
        <v>139</v>
      </c>
      <c r="G40" s="190"/>
      <c r="O40" s="75">
        <f t="shared" si="4"/>
        <v>1</v>
      </c>
      <c r="P40" s="75">
        <f t="shared" si="5"/>
        <v>1</v>
      </c>
      <c r="S40" s="44">
        <f t="shared" si="7"/>
        <v>1</v>
      </c>
    </row>
  </sheetData>
  <autoFilter ref="$A$21:$S$31">
    <sortState ref="A21:S31">
      <sortCondition descending="1" ref="S21:S31"/>
      <sortCondition descending="1" ref="P21:P31"/>
    </sortState>
  </autoFilter>
  <drawing r:id="rId1"/>
  <tableParts count="5">
    <tablePart r:id="rId7"/>
    <tablePart r:id="rId8"/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3" max="3" width="19.63"/>
    <col customWidth="1" min="11" max="11" width="10.5"/>
    <col customWidth="1" min="12" max="12" width="14.25"/>
  </cols>
  <sheetData>
    <row r="1">
      <c r="A1" s="92"/>
      <c r="B1" s="92"/>
      <c r="C1" s="2" t="s">
        <v>0</v>
      </c>
      <c r="D1" s="3" t="s">
        <v>1</v>
      </c>
      <c r="E1" s="93"/>
      <c r="F1" s="94"/>
      <c r="G1" s="94"/>
      <c r="H1" s="94"/>
      <c r="I1" s="94"/>
      <c r="J1" s="94"/>
      <c r="K1" s="94"/>
      <c r="L1" s="94"/>
      <c r="M1" s="94"/>
      <c r="N1" s="1"/>
      <c r="O1" s="1"/>
      <c r="P1" s="1"/>
      <c r="Q1" s="1"/>
      <c r="R1" s="1"/>
    </row>
    <row r="2">
      <c r="A2" s="92"/>
      <c r="B2" s="92"/>
      <c r="C2" s="2"/>
      <c r="D2" s="7" t="s">
        <v>2</v>
      </c>
      <c r="E2" s="93"/>
      <c r="F2" s="94"/>
      <c r="G2" s="94"/>
      <c r="H2" s="94"/>
      <c r="I2" s="94"/>
      <c r="J2" s="94"/>
      <c r="K2" s="94"/>
      <c r="L2" s="94"/>
      <c r="M2" s="94"/>
      <c r="N2" s="1"/>
      <c r="O2" s="1"/>
      <c r="P2" s="1"/>
      <c r="Q2" s="1"/>
      <c r="R2" s="1"/>
    </row>
    <row r="3">
      <c r="A3" s="92"/>
      <c r="B3" s="92"/>
      <c r="C3" s="2"/>
      <c r="D3" s="3" t="s">
        <v>3</v>
      </c>
      <c r="E3" s="93"/>
      <c r="F3" s="94"/>
      <c r="G3" s="94"/>
      <c r="H3" s="94"/>
      <c r="I3" s="94"/>
      <c r="J3" s="94"/>
      <c r="K3" s="94"/>
      <c r="L3" s="94"/>
      <c r="M3" s="94"/>
      <c r="N3" s="1"/>
      <c r="O3" s="1"/>
      <c r="P3" s="1"/>
      <c r="Q3" s="1"/>
      <c r="R3" s="1"/>
    </row>
    <row r="4">
      <c r="A4" s="92"/>
      <c r="B4" s="92"/>
      <c r="C4" s="2"/>
      <c r="D4" s="8" t="s">
        <v>4</v>
      </c>
      <c r="E4" s="93"/>
      <c r="F4" s="94"/>
      <c r="G4" s="94"/>
      <c r="H4" s="94"/>
      <c r="I4" s="94"/>
      <c r="J4" s="94"/>
      <c r="K4" s="94"/>
      <c r="L4" s="94"/>
      <c r="M4" s="94"/>
      <c r="N4" s="1"/>
      <c r="O4" s="1"/>
      <c r="P4" s="1"/>
      <c r="Q4" s="1"/>
      <c r="R4" s="1"/>
    </row>
    <row r="5">
      <c r="A5" s="92"/>
      <c r="B5" s="92"/>
      <c r="C5" s="2"/>
      <c r="D5" s="12" t="s">
        <v>5</v>
      </c>
      <c r="E5" s="93"/>
      <c r="F5" s="94"/>
      <c r="G5" s="94"/>
      <c r="H5" s="94"/>
      <c r="I5" s="94"/>
      <c r="J5" s="94"/>
      <c r="K5" s="94"/>
      <c r="L5" s="94"/>
      <c r="M5" s="94"/>
      <c r="N5" s="1"/>
      <c r="O5" s="1"/>
      <c r="P5" s="1"/>
      <c r="Q5" s="1"/>
      <c r="R5" s="1"/>
    </row>
    <row r="6">
      <c r="A6" s="92"/>
      <c r="B6" s="92"/>
      <c r="C6" s="2"/>
      <c r="D6" s="12"/>
      <c r="E6" s="93"/>
      <c r="F6" s="93"/>
      <c r="G6" s="93"/>
      <c r="H6" s="93"/>
      <c r="I6" s="93"/>
      <c r="J6" s="93"/>
      <c r="K6" s="93"/>
      <c r="L6" s="93"/>
      <c r="M6" s="93"/>
      <c r="N6" s="1"/>
      <c r="O6" s="1"/>
      <c r="P6" s="1"/>
      <c r="Q6" s="1"/>
      <c r="R6" s="1"/>
    </row>
    <row r="7">
      <c r="A7" s="92"/>
      <c r="B7" s="92"/>
      <c r="C7" s="2"/>
      <c r="D7" s="16" t="s">
        <v>6</v>
      </c>
      <c r="E7" s="93"/>
      <c r="F7" s="94"/>
      <c r="G7" s="94"/>
      <c r="H7" s="94"/>
      <c r="I7" s="94"/>
      <c r="J7" s="94"/>
      <c r="K7" s="94"/>
      <c r="L7" s="94"/>
      <c r="M7" s="94"/>
      <c r="N7" s="1"/>
      <c r="O7" s="1"/>
      <c r="P7" s="1"/>
      <c r="Q7" s="1"/>
      <c r="R7" s="1"/>
    </row>
    <row r="8">
      <c r="A8" s="92"/>
      <c r="B8" s="92"/>
      <c r="C8" s="19"/>
      <c r="D8" s="20" t="s">
        <v>7</v>
      </c>
      <c r="H8" s="30"/>
      <c r="I8" s="30"/>
      <c r="J8" s="30"/>
      <c r="K8" s="30"/>
    </row>
    <row r="9">
      <c r="A9" s="92"/>
      <c r="B9" s="92"/>
      <c r="C9" s="19"/>
      <c r="D9" s="20" t="s">
        <v>8</v>
      </c>
      <c r="H9" s="30"/>
      <c r="I9" s="30"/>
      <c r="J9" s="30"/>
      <c r="K9" s="30"/>
    </row>
    <row r="10">
      <c r="A10" s="92"/>
      <c r="B10" s="92"/>
      <c r="C10" s="19"/>
      <c r="D10" s="20" t="s">
        <v>9</v>
      </c>
      <c r="H10" s="30"/>
      <c r="I10" s="30"/>
      <c r="J10" s="30"/>
      <c r="K10" s="30"/>
    </row>
    <row r="11">
      <c r="A11" s="92"/>
      <c r="B11" s="92"/>
      <c r="C11" s="19"/>
      <c r="D11" s="19" t="s">
        <v>10</v>
      </c>
      <c r="E11" s="19"/>
      <c r="F11" s="19"/>
      <c r="G11" s="19"/>
      <c r="H11" s="19"/>
      <c r="I11" s="19"/>
      <c r="J11" s="19"/>
      <c r="K11" s="19"/>
      <c r="L11" s="19"/>
      <c r="M11" s="19"/>
      <c r="S11" s="172"/>
      <c r="T11" s="172"/>
      <c r="U11" s="172"/>
      <c r="V11" s="172"/>
    </row>
    <row r="12">
      <c r="A12" s="92"/>
      <c r="B12" s="92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72"/>
      <c r="T12" s="172"/>
      <c r="U12" s="172"/>
      <c r="V12" s="172"/>
    </row>
    <row r="13">
      <c r="A13" s="92"/>
      <c r="B13" s="92"/>
      <c r="C13" s="24" t="s">
        <v>13</v>
      </c>
      <c r="F13" s="25" t="s">
        <v>14</v>
      </c>
      <c r="G13" s="95"/>
      <c r="H13" s="95"/>
      <c r="I13" s="95"/>
      <c r="J13" s="95"/>
      <c r="K13" s="95"/>
      <c r="L13" s="96"/>
      <c r="M13" s="96"/>
      <c r="N13" s="96"/>
      <c r="O13" s="96"/>
      <c r="P13" s="96"/>
      <c r="Q13" s="97"/>
      <c r="R13" s="96"/>
      <c r="S13" s="172"/>
      <c r="T13" s="172"/>
      <c r="U13" s="172"/>
      <c r="V13" s="172"/>
    </row>
    <row r="14">
      <c r="A14" s="98"/>
      <c r="E14" s="99" t="s">
        <v>25</v>
      </c>
      <c r="S14" s="172"/>
      <c r="T14" s="43" t="s">
        <v>224</v>
      </c>
      <c r="U14" s="44">
        <f>sum(S:S)</f>
        <v>110</v>
      </c>
      <c r="V14" s="172"/>
    </row>
    <row r="15">
      <c r="A15" s="92"/>
      <c r="B15" s="98" t="s">
        <v>129</v>
      </c>
      <c r="C15" s="134" t="s">
        <v>141</v>
      </c>
      <c r="D15" s="106">
        <v>5.8786756E7</v>
      </c>
      <c r="E15" s="134" t="s">
        <v>101</v>
      </c>
      <c r="F15" s="171">
        <v>5.0</v>
      </c>
      <c r="G15" s="102"/>
      <c r="H15" s="102"/>
      <c r="I15" s="102"/>
      <c r="J15" s="102"/>
      <c r="K15" s="102"/>
      <c r="L15" s="102"/>
      <c r="M15" s="28"/>
      <c r="N15" s="28"/>
      <c r="O15" s="28"/>
      <c r="P15" s="96"/>
      <c r="Q15" s="96"/>
      <c r="R15" s="96"/>
      <c r="S15" s="97"/>
      <c r="T15" s="172"/>
      <c r="U15" s="172"/>
      <c r="V15" s="172"/>
    </row>
    <row r="16">
      <c r="C16" s="191"/>
      <c r="D16" s="192"/>
      <c r="E16" s="191"/>
      <c r="F16" s="193" t="s">
        <v>236</v>
      </c>
      <c r="G16" s="193" t="s">
        <v>237</v>
      </c>
      <c r="H16" s="193" t="s">
        <v>238</v>
      </c>
      <c r="I16" s="193" t="s">
        <v>239</v>
      </c>
      <c r="J16" s="193" t="s">
        <v>240</v>
      </c>
      <c r="K16" s="193" t="s">
        <v>241</v>
      </c>
      <c r="L16" s="193" t="s">
        <v>242</v>
      </c>
      <c r="S16" s="172"/>
      <c r="T16" s="172"/>
      <c r="U16" s="172"/>
      <c r="V16" s="172"/>
    </row>
    <row r="17">
      <c r="A17" s="98"/>
      <c r="E17" s="40" t="s">
        <v>25</v>
      </c>
      <c r="F17" s="194">
        <v>46052.0</v>
      </c>
      <c r="G17" s="194">
        <v>46055.0</v>
      </c>
      <c r="H17" s="194">
        <v>46056.0</v>
      </c>
      <c r="I17" s="194">
        <v>46057.0</v>
      </c>
      <c r="J17" s="194">
        <v>46058.0</v>
      </c>
      <c r="K17" s="194">
        <v>46059.0</v>
      </c>
      <c r="L17" s="194">
        <v>46060.0</v>
      </c>
      <c r="M17" s="42" t="s">
        <v>53</v>
      </c>
      <c r="N17" s="42" t="s">
        <v>54</v>
      </c>
      <c r="O17" s="42" t="s">
        <v>55</v>
      </c>
      <c r="P17" s="42" t="s">
        <v>56</v>
      </c>
      <c r="Q17" s="42" t="s">
        <v>57</v>
      </c>
      <c r="R17" s="42" t="s">
        <v>58</v>
      </c>
      <c r="S17" s="11" t="s">
        <v>59</v>
      </c>
      <c r="T17" s="172"/>
      <c r="U17" s="172"/>
      <c r="V17" s="172"/>
    </row>
    <row r="18">
      <c r="B18" s="98" t="s">
        <v>125</v>
      </c>
      <c r="C18" s="81" t="s">
        <v>219</v>
      </c>
      <c r="D18" s="164">
        <v>5.8575688E7</v>
      </c>
      <c r="E18" s="81" t="s">
        <v>93</v>
      </c>
      <c r="F18" s="1"/>
      <c r="G18" s="195" t="s">
        <v>139</v>
      </c>
      <c r="H18" s="195"/>
      <c r="I18" s="195" t="s">
        <v>139</v>
      </c>
      <c r="J18" s="195"/>
      <c r="K18" s="195"/>
      <c r="L18" s="195" t="s">
        <v>139</v>
      </c>
      <c r="M18" s="112">
        <v>6.0</v>
      </c>
      <c r="N18" s="112"/>
      <c r="O18" s="172">
        <f>ROUNDUP((COUNTIF(F18:K18,"Y")/6)*3,0)</f>
        <v>1</v>
      </c>
      <c r="P18" s="102">
        <f>sum(M18:O18)</f>
        <v>7</v>
      </c>
      <c r="Q18" s="96"/>
      <c r="R18" s="96"/>
      <c r="S18" s="44">
        <f>sum(P18:R18)</f>
        <v>7</v>
      </c>
      <c r="T18" s="97"/>
      <c r="U18" s="97"/>
      <c r="V18" s="172"/>
    </row>
    <row r="19">
      <c r="S19" s="172"/>
      <c r="T19" s="172"/>
      <c r="U19" s="172"/>
      <c r="V19" s="172"/>
    </row>
    <row r="22">
      <c r="A22" s="40" t="s">
        <v>42</v>
      </c>
      <c r="B22" s="39" t="s">
        <v>89</v>
      </c>
      <c r="C22" s="39" t="s">
        <v>44</v>
      </c>
      <c r="D22" s="40" t="s">
        <v>45</v>
      </c>
      <c r="E22" s="40" t="s">
        <v>25</v>
      </c>
      <c r="F22" s="194">
        <v>46052.0</v>
      </c>
      <c r="G22" s="194">
        <v>46055.0</v>
      </c>
      <c r="H22" s="194">
        <v>46056.0</v>
      </c>
      <c r="I22" s="194">
        <v>46057.0</v>
      </c>
      <c r="J22" s="194">
        <v>46058.0</v>
      </c>
      <c r="K22" s="194">
        <v>46059.0</v>
      </c>
      <c r="L22" s="194">
        <v>46060.0</v>
      </c>
      <c r="M22" s="42" t="s">
        <v>53</v>
      </c>
      <c r="N22" s="42" t="s">
        <v>54</v>
      </c>
      <c r="O22" s="42" t="s">
        <v>55</v>
      </c>
      <c r="P22" s="42" t="s">
        <v>56</v>
      </c>
      <c r="Q22" s="42" t="s">
        <v>57</v>
      </c>
      <c r="R22" s="42" t="s">
        <v>58</v>
      </c>
      <c r="S22" s="11" t="s">
        <v>59</v>
      </c>
      <c r="T22" s="196"/>
      <c r="U22" s="196"/>
    </row>
    <row r="23">
      <c r="B23" s="1" t="s">
        <v>243</v>
      </c>
      <c r="C23" s="46">
        <v>5.7191658E7</v>
      </c>
      <c r="D23" s="1" t="s">
        <v>244</v>
      </c>
      <c r="E23" s="1" t="s">
        <v>245</v>
      </c>
      <c r="F23" s="60" t="s">
        <v>139</v>
      </c>
      <c r="G23" s="60"/>
      <c r="H23" s="60" t="s">
        <v>139</v>
      </c>
      <c r="I23" s="60" t="s">
        <v>139</v>
      </c>
      <c r="J23" s="60"/>
      <c r="K23" s="60" t="s">
        <v>139</v>
      </c>
      <c r="L23" s="60" t="s">
        <v>139</v>
      </c>
      <c r="M23" s="161">
        <v>6.0</v>
      </c>
      <c r="N23" s="153"/>
      <c r="O23" s="154">
        <v>3.0</v>
      </c>
      <c r="P23" s="153">
        <f t="shared" ref="P23:P40" si="1">sum(M23:O23)</f>
        <v>9</v>
      </c>
      <c r="Q23" s="153"/>
      <c r="R23" s="153"/>
      <c r="S23" s="47">
        <f t="shared" ref="S23:S40" si="2">sum(P23:R23)</f>
        <v>9</v>
      </c>
      <c r="T23" s="197"/>
      <c r="U23" s="198"/>
    </row>
    <row r="24">
      <c r="B24" s="1" t="s">
        <v>243</v>
      </c>
      <c r="C24" s="46">
        <v>5.7313758E7</v>
      </c>
      <c r="D24" s="1" t="s">
        <v>176</v>
      </c>
      <c r="E24" s="1" t="s">
        <v>157</v>
      </c>
      <c r="F24" s="156"/>
      <c r="G24" s="156" t="s">
        <v>139</v>
      </c>
      <c r="H24" s="156"/>
      <c r="I24" s="156" t="s">
        <v>139</v>
      </c>
      <c r="J24" s="156" t="s">
        <v>139</v>
      </c>
      <c r="K24" s="156" t="s">
        <v>139</v>
      </c>
      <c r="L24" s="156" t="s">
        <v>139</v>
      </c>
      <c r="M24" s="152">
        <v>6.0</v>
      </c>
      <c r="N24" s="155"/>
      <c r="O24" s="199">
        <v>3.0</v>
      </c>
      <c r="P24" s="155">
        <f t="shared" si="1"/>
        <v>9</v>
      </c>
      <c r="Q24" s="155"/>
      <c r="R24" s="155"/>
      <c r="S24" s="47">
        <f t="shared" si="2"/>
        <v>9</v>
      </c>
      <c r="T24" s="200"/>
      <c r="U24" s="200"/>
    </row>
    <row r="25">
      <c r="B25" s="1" t="s">
        <v>243</v>
      </c>
      <c r="C25" s="46">
        <v>5.8686978E7</v>
      </c>
      <c r="D25" s="1" t="s">
        <v>246</v>
      </c>
      <c r="E25" s="1" t="s">
        <v>247</v>
      </c>
      <c r="F25" s="60"/>
      <c r="G25" s="60" t="s">
        <v>139</v>
      </c>
      <c r="H25" s="60"/>
      <c r="I25" s="60" t="s">
        <v>139</v>
      </c>
      <c r="J25" s="60" t="s">
        <v>139</v>
      </c>
      <c r="K25" s="60" t="s">
        <v>139</v>
      </c>
      <c r="L25" s="60" t="s">
        <v>139</v>
      </c>
      <c r="M25" s="161">
        <v>6.0</v>
      </c>
      <c r="N25" s="154"/>
      <c r="O25" s="154">
        <v>3.0</v>
      </c>
      <c r="P25" s="153">
        <f t="shared" si="1"/>
        <v>9</v>
      </c>
      <c r="Q25" s="153"/>
      <c r="S25" s="47">
        <f t="shared" si="2"/>
        <v>9</v>
      </c>
      <c r="T25" s="197"/>
      <c r="U25" s="198"/>
    </row>
    <row r="26">
      <c r="B26" s="1" t="s">
        <v>243</v>
      </c>
      <c r="C26" s="46">
        <v>5.9288255E7</v>
      </c>
      <c r="D26" s="1" t="s">
        <v>154</v>
      </c>
      <c r="E26" s="1" t="s">
        <v>155</v>
      </c>
      <c r="F26" s="156"/>
      <c r="G26" s="156" t="s">
        <v>139</v>
      </c>
      <c r="H26" s="156"/>
      <c r="I26" s="156"/>
      <c r="J26" s="156" t="s">
        <v>139</v>
      </c>
      <c r="K26" s="156"/>
      <c r="L26" s="156" t="s">
        <v>139</v>
      </c>
      <c r="M26" s="152">
        <v>2.0</v>
      </c>
      <c r="N26" s="155"/>
      <c r="O26" s="199">
        <v>2.0</v>
      </c>
      <c r="P26" s="155">
        <f t="shared" si="1"/>
        <v>4</v>
      </c>
      <c r="Q26" s="155"/>
      <c r="S26" s="47">
        <f t="shared" si="2"/>
        <v>4</v>
      </c>
      <c r="T26" s="200"/>
      <c r="U26" s="201"/>
    </row>
    <row r="27">
      <c r="B27" s="45" t="s">
        <v>248</v>
      </c>
      <c r="C27" s="46">
        <v>5.865425E7</v>
      </c>
      <c r="D27" s="1" t="s">
        <v>249</v>
      </c>
      <c r="E27" s="1" t="s">
        <v>101</v>
      </c>
      <c r="F27" s="60" t="s">
        <v>139</v>
      </c>
      <c r="G27" s="60"/>
      <c r="H27" s="60"/>
      <c r="I27" s="60"/>
      <c r="J27" s="60"/>
      <c r="K27" s="60"/>
      <c r="L27" s="60" t="s">
        <v>139</v>
      </c>
      <c r="N27" s="154"/>
      <c r="O27" s="153">
        <f t="shared" ref="O27:O28" si="3">ROUNDUP((COUNTIF(F27:K27,"Y")/6)*3,0)</f>
        <v>1</v>
      </c>
      <c r="P27" s="153">
        <f t="shared" si="1"/>
        <v>1</v>
      </c>
      <c r="Q27" s="153"/>
      <c r="R27" s="154">
        <v>3.0</v>
      </c>
      <c r="S27" s="47">
        <f t="shared" si="2"/>
        <v>4</v>
      </c>
      <c r="T27" s="197"/>
      <c r="U27" s="198"/>
    </row>
    <row r="28">
      <c r="B28" s="45" t="s">
        <v>248</v>
      </c>
      <c r="C28" s="46">
        <v>5.8657412E7</v>
      </c>
      <c r="D28" s="1" t="s">
        <v>250</v>
      </c>
      <c r="E28" s="1" t="s">
        <v>251</v>
      </c>
      <c r="F28" s="156"/>
      <c r="G28" s="156" t="s">
        <v>139</v>
      </c>
      <c r="H28" s="156"/>
      <c r="I28" s="156"/>
      <c r="J28" s="156"/>
      <c r="K28" s="156"/>
      <c r="L28" s="156" t="s">
        <v>139</v>
      </c>
      <c r="N28" s="155"/>
      <c r="O28" s="155">
        <f t="shared" si="3"/>
        <v>1</v>
      </c>
      <c r="P28" s="155">
        <f t="shared" si="1"/>
        <v>1</v>
      </c>
      <c r="Q28" s="155"/>
      <c r="R28" s="199">
        <v>2.0</v>
      </c>
      <c r="S28" s="47">
        <f t="shared" si="2"/>
        <v>3</v>
      </c>
      <c r="T28" s="200"/>
      <c r="U28" s="201"/>
    </row>
    <row r="29">
      <c r="B29" s="202" t="s">
        <v>248</v>
      </c>
      <c r="C29" s="53">
        <v>5.9574087E7</v>
      </c>
      <c r="D29" s="52" t="s">
        <v>252</v>
      </c>
      <c r="E29" s="52" t="s">
        <v>253</v>
      </c>
      <c r="F29" s="60"/>
      <c r="G29" s="60"/>
      <c r="H29" s="60"/>
      <c r="I29" s="60"/>
      <c r="J29" s="60"/>
      <c r="K29" s="60"/>
      <c r="L29" s="60" t="s">
        <v>139</v>
      </c>
      <c r="N29" s="153"/>
      <c r="O29" s="154">
        <v>0.0</v>
      </c>
      <c r="P29" s="153">
        <f t="shared" si="1"/>
        <v>0</v>
      </c>
      <c r="Q29" s="153"/>
      <c r="R29" s="154">
        <v>2.0</v>
      </c>
      <c r="S29" s="47">
        <f t="shared" si="2"/>
        <v>2</v>
      </c>
      <c r="T29" s="197"/>
      <c r="U29" s="198"/>
    </row>
    <row r="30">
      <c r="B30" s="45" t="s">
        <v>254</v>
      </c>
      <c r="C30" s="46">
        <v>5.852805E7</v>
      </c>
      <c r="D30" s="1" t="s">
        <v>156</v>
      </c>
      <c r="E30" s="1" t="s">
        <v>157</v>
      </c>
      <c r="F30" s="156" t="s">
        <v>139</v>
      </c>
      <c r="G30" s="156"/>
      <c r="H30" s="156"/>
      <c r="I30" s="156"/>
      <c r="J30" s="156"/>
      <c r="K30" s="156"/>
      <c r="L30" s="156"/>
      <c r="N30" s="155"/>
      <c r="O30" s="155">
        <f t="shared" ref="O30:O40" si="4">ROUNDUP((COUNTIF(F30:K30,"Y")/6)*3,0)</f>
        <v>1</v>
      </c>
      <c r="P30" s="155">
        <f t="shared" si="1"/>
        <v>1</v>
      </c>
      <c r="Q30" s="155"/>
      <c r="R30" s="155"/>
      <c r="S30" s="47">
        <f t="shared" si="2"/>
        <v>1</v>
      </c>
      <c r="T30" s="200"/>
      <c r="U30" s="200"/>
    </row>
    <row r="31">
      <c r="B31" s="45" t="s">
        <v>254</v>
      </c>
      <c r="C31" s="46">
        <v>5.8618183E7</v>
      </c>
      <c r="D31" s="1" t="s">
        <v>255</v>
      </c>
      <c r="E31" s="1" t="s">
        <v>155</v>
      </c>
      <c r="F31" s="60" t="s">
        <v>139</v>
      </c>
      <c r="G31" s="60"/>
      <c r="H31" s="60"/>
      <c r="I31" s="60"/>
      <c r="J31" s="60"/>
      <c r="K31" s="60"/>
      <c r="L31" s="60"/>
      <c r="N31" s="153"/>
      <c r="O31" s="153">
        <f t="shared" si="4"/>
        <v>1</v>
      </c>
      <c r="P31" s="153">
        <f t="shared" si="1"/>
        <v>1</v>
      </c>
      <c r="Q31" s="153"/>
      <c r="S31" s="47">
        <f t="shared" si="2"/>
        <v>1</v>
      </c>
      <c r="T31" s="197"/>
      <c r="U31" s="198"/>
    </row>
    <row r="32">
      <c r="B32" s="45" t="s">
        <v>254</v>
      </c>
      <c r="C32" s="46">
        <v>5.9296869E7</v>
      </c>
      <c r="D32" s="1" t="s">
        <v>256</v>
      </c>
      <c r="E32" s="1" t="s">
        <v>123</v>
      </c>
      <c r="F32" s="156"/>
      <c r="G32" s="156" t="s">
        <v>139</v>
      </c>
      <c r="H32" s="156"/>
      <c r="I32" s="156"/>
      <c r="J32" s="156"/>
      <c r="K32" s="156"/>
      <c r="L32" s="156"/>
      <c r="N32" s="155"/>
      <c r="O32" s="155">
        <f t="shared" si="4"/>
        <v>1</v>
      </c>
      <c r="P32" s="155">
        <f t="shared" si="1"/>
        <v>1</v>
      </c>
      <c r="Q32" s="155"/>
      <c r="S32" s="47">
        <f t="shared" si="2"/>
        <v>1</v>
      </c>
      <c r="T32" s="200"/>
      <c r="U32" s="201"/>
    </row>
    <row r="33">
      <c r="B33" s="45" t="s">
        <v>254</v>
      </c>
      <c r="C33" s="46">
        <v>5.8521742E7</v>
      </c>
      <c r="D33" s="1" t="s">
        <v>257</v>
      </c>
      <c r="E33" s="1" t="s">
        <v>95</v>
      </c>
      <c r="F33" s="60"/>
      <c r="G33" s="60" t="s">
        <v>139</v>
      </c>
      <c r="H33" s="60"/>
      <c r="I33" s="60"/>
      <c r="J33" s="60"/>
      <c r="K33" s="60"/>
      <c r="L33" s="60"/>
      <c r="N33" s="153"/>
      <c r="O33" s="153">
        <f t="shared" si="4"/>
        <v>1</v>
      </c>
      <c r="P33" s="153">
        <f t="shared" si="1"/>
        <v>1</v>
      </c>
      <c r="Q33" s="153"/>
      <c r="R33" s="153"/>
      <c r="S33" s="47">
        <f t="shared" si="2"/>
        <v>1</v>
      </c>
      <c r="T33" s="197"/>
      <c r="U33" s="198"/>
    </row>
    <row r="34">
      <c r="B34" s="45" t="s">
        <v>254</v>
      </c>
      <c r="C34" s="46">
        <v>5.8521705E7</v>
      </c>
      <c r="D34" s="1" t="s">
        <v>258</v>
      </c>
      <c r="E34" s="1" t="s">
        <v>112</v>
      </c>
      <c r="F34" s="156" t="s">
        <v>139</v>
      </c>
      <c r="G34" s="156"/>
      <c r="H34" s="156"/>
      <c r="I34" s="156"/>
      <c r="J34" s="156"/>
      <c r="K34" s="156"/>
      <c r="L34" s="156"/>
      <c r="N34" s="155"/>
      <c r="O34" s="155">
        <f t="shared" si="4"/>
        <v>1</v>
      </c>
      <c r="P34" s="155">
        <f t="shared" si="1"/>
        <v>1</v>
      </c>
      <c r="Q34" s="155"/>
      <c r="R34" s="155"/>
      <c r="S34" s="47">
        <f t="shared" si="2"/>
        <v>1</v>
      </c>
      <c r="T34" s="200"/>
      <c r="U34" s="201"/>
    </row>
    <row r="35">
      <c r="B35" s="45" t="s">
        <v>254</v>
      </c>
      <c r="C35" s="46">
        <v>6.017655E7</v>
      </c>
      <c r="D35" s="52" t="s">
        <v>184</v>
      </c>
      <c r="E35" s="52" t="s">
        <v>185</v>
      </c>
      <c r="F35" s="60"/>
      <c r="G35" s="60" t="s">
        <v>139</v>
      </c>
      <c r="H35" s="60"/>
      <c r="I35" s="60"/>
      <c r="J35" s="60"/>
      <c r="K35" s="60"/>
      <c r="L35" s="60"/>
      <c r="N35" s="153"/>
      <c r="O35" s="153">
        <f t="shared" si="4"/>
        <v>1</v>
      </c>
      <c r="P35" s="153">
        <f t="shared" si="1"/>
        <v>1</v>
      </c>
      <c r="Q35" s="153"/>
      <c r="R35" s="153"/>
      <c r="S35" s="47">
        <f t="shared" si="2"/>
        <v>1</v>
      </c>
      <c r="T35" s="197"/>
      <c r="U35" s="198"/>
    </row>
    <row r="36">
      <c r="B36" s="45" t="s">
        <v>254</v>
      </c>
      <c r="C36" s="46">
        <v>5.8539339E7</v>
      </c>
      <c r="D36" s="52" t="s">
        <v>259</v>
      </c>
      <c r="E36" s="52" t="s">
        <v>179</v>
      </c>
      <c r="F36" s="156"/>
      <c r="G36" s="156" t="s">
        <v>139</v>
      </c>
      <c r="H36" s="156"/>
      <c r="I36" s="156"/>
      <c r="J36" s="156"/>
      <c r="K36" s="156"/>
      <c r="L36" s="156"/>
      <c r="N36" s="155"/>
      <c r="O36" s="155">
        <f t="shared" si="4"/>
        <v>1</v>
      </c>
      <c r="P36" s="155">
        <f t="shared" si="1"/>
        <v>1</v>
      </c>
      <c r="Q36" s="155"/>
      <c r="R36" s="155"/>
      <c r="S36" s="47">
        <f t="shared" si="2"/>
        <v>1</v>
      </c>
      <c r="T36" s="200"/>
      <c r="U36" s="201"/>
    </row>
    <row r="37">
      <c r="B37" s="45" t="s">
        <v>254</v>
      </c>
      <c r="C37" s="46">
        <v>5.9304929E7</v>
      </c>
      <c r="D37" s="52" t="s">
        <v>110</v>
      </c>
      <c r="E37" s="52" t="s">
        <v>99</v>
      </c>
      <c r="F37" s="60"/>
      <c r="G37" s="60" t="s">
        <v>139</v>
      </c>
      <c r="H37" s="60"/>
      <c r="I37" s="60"/>
      <c r="J37" s="60"/>
      <c r="K37" s="60"/>
      <c r="L37" s="60"/>
      <c r="N37" s="153"/>
      <c r="O37" s="153">
        <f t="shared" si="4"/>
        <v>1</v>
      </c>
      <c r="P37" s="153">
        <f t="shared" si="1"/>
        <v>1</v>
      </c>
      <c r="Q37" s="153"/>
      <c r="R37" s="153"/>
      <c r="S37" s="47">
        <f t="shared" si="2"/>
        <v>1</v>
      </c>
      <c r="T37" s="197"/>
      <c r="U37" s="198"/>
    </row>
    <row r="38">
      <c r="B38" s="45" t="s">
        <v>254</v>
      </c>
      <c r="C38" s="46">
        <v>6.0164514E7</v>
      </c>
      <c r="D38" s="52" t="s">
        <v>260</v>
      </c>
      <c r="E38" s="52" t="s">
        <v>261</v>
      </c>
      <c r="F38" s="156"/>
      <c r="G38" s="156" t="s">
        <v>139</v>
      </c>
      <c r="H38" s="156"/>
      <c r="I38" s="156"/>
      <c r="J38" s="156"/>
      <c r="K38" s="156"/>
      <c r="L38" s="156"/>
      <c r="N38" s="155"/>
      <c r="O38" s="155">
        <f t="shared" si="4"/>
        <v>1</v>
      </c>
      <c r="P38" s="155">
        <f t="shared" si="1"/>
        <v>1</v>
      </c>
      <c r="Q38" s="155"/>
      <c r="R38" s="155"/>
      <c r="S38" s="47">
        <f t="shared" si="2"/>
        <v>1</v>
      </c>
      <c r="T38" s="200"/>
      <c r="U38" s="201"/>
    </row>
    <row r="39">
      <c r="B39" s="45" t="s">
        <v>254</v>
      </c>
      <c r="C39" s="203">
        <v>5.8534946E7</v>
      </c>
      <c r="D39" s="52" t="s">
        <v>262</v>
      </c>
      <c r="E39" s="52" t="s">
        <v>263</v>
      </c>
      <c r="F39" s="60"/>
      <c r="G39" s="60" t="s">
        <v>139</v>
      </c>
      <c r="H39" s="60"/>
      <c r="I39" s="60"/>
      <c r="J39" s="60"/>
      <c r="K39" s="60"/>
      <c r="L39" s="60"/>
      <c r="N39" s="153"/>
      <c r="O39" s="153">
        <f t="shared" si="4"/>
        <v>1</v>
      </c>
      <c r="P39" s="153">
        <f t="shared" si="1"/>
        <v>1</v>
      </c>
      <c r="Q39" s="153"/>
      <c r="R39" s="153"/>
      <c r="S39" s="47">
        <f t="shared" si="2"/>
        <v>1</v>
      </c>
      <c r="T39" s="197"/>
      <c r="U39" s="197"/>
    </row>
    <row r="40">
      <c r="B40" s="45" t="s">
        <v>254</v>
      </c>
      <c r="C40" s="46">
        <v>5.9293609E7</v>
      </c>
      <c r="D40" s="52" t="s">
        <v>149</v>
      </c>
      <c r="E40" s="52" t="s">
        <v>150</v>
      </c>
      <c r="F40" s="156"/>
      <c r="G40" s="156" t="s">
        <v>139</v>
      </c>
      <c r="H40" s="156"/>
      <c r="I40" s="156"/>
      <c r="J40" s="156"/>
      <c r="K40" s="156"/>
      <c r="L40" s="156"/>
      <c r="N40" s="155"/>
      <c r="O40" s="155">
        <f t="shared" si="4"/>
        <v>1</v>
      </c>
      <c r="P40" s="155">
        <f t="shared" si="1"/>
        <v>1</v>
      </c>
      <c r="Q40" s="155"/>
      <c r="R40" s="155"/>
      <c r="S40" s="47">
        <f t="shared" si="2"/>
        <v>1</v>
      </c>
      <c r="T40" s="200"/>
      <c r="U40" s="201"/>
    </row>
    <row r="41">
      <c r="M41" s="204"/>
    </row>
    <row r="42">
      <c r="M42" s="204"/>
    </row>
    <row r="43">
      <c r="A43" s="40" t="s">
        <v>42</v>
      </c>
      <c r="B43" s="38" t="s">
        <v>43</v>
      </c>
      <c r="C43" s="39" t="s">
        <v>44</v>
      </c>
      <c r="D43" s="40" t="s">
        <v>45</v>
      </c>
      <c r="E43" s="40" t="s">
        <v>25</v>
      </c>
      <c r="F43" s="194">
        <v>46052.0</v>
      </c>
      <c r="G43" s="194">
        <v>46055.0</v>
      </c>
      <c r="H43" s="194">
        <v>46056.0</v>
      </c>
      <c r="I43" s="194">
        <v>46057.0</v>
      </c>
      <c r="J43" s="194">
        <v>46058.0</v>
      </c>
      <c r="K43" s="194">
        <v>46059.0</v>
      </c>
      <c r="L43" s="194">
        <v>46060.0</v>
      </c>
      <c r="M43" s="42" t="s">
        <v>53</v>
      </c>
      <c r="N43" s="42" t="s">
        <v>54</v>
      </c>
      <c r="O43" s="42" t="s">
        <v>55</v>
      </c>
      <c r="P43" s="42" t="s">
        <v>56</v>
      </c>
      <c r="Q43" s="42" t="s">
        <v>57</v>
      </c>
      <c r="R43" s="42" t="s">
        <v>58</v>
      </c>
      <c r="S43" s="11" t="s">
        <v>59</v>
      </c>
    </row>
    <row r="44">
      <c r="B44" s="52" t="s">
        <v>243</v>
      </c>
      <c r="C44" s="53">
        <v>5.9282607E7</v>
      </c>
      <c r="D44" s="202" t="s">
        <v>264</v>
      </c>
      <c r="E44" s="1" t="s">
        <v>86</v>
      </c>
      <c r="F44" s="1"/>
      <c r="G44" s="1" t="s">
        <v>139</v>
      </c>
      <c r="H44" s="1" t="s">
        <v>139</v>
      </c>
      <c r="I44" s="1" t="s">
        <v>139</v>
      </c>
      <c r="J44" s="1"/>
      <c r="K44" s="1" t="s">
        <v>139</v>
      </c>
      <c r="L44" s="1" t="s">
        <v>139</v>
      </c>
      <c r="M44" s="28">
        <v>6.0</v>
      </c>
      <c r="O44" s="205">
        <v>3.0</v>
      </c>
      <c r="P44" s="75">
        <f t="shared" ref="P44:P45" si="5">sum(M44:O44)</f>
        <v>9</v>
      </c>
      <c r="S44" s="44">
        <f t="shared" ref="S44:S57" si="6">sum(P44:R44)</f>
        <v>9</v>
      </c>
    </row>
    <row r="45">
      <c r="B45" s="52" t="s">
        <v>243</v>
      </c>
      <c r="C45" s="202">
        <v>5.8522321E7</v>
      </c>
      <c r="D45" s="202" t="s">
        <v>189</v>
      </c>
      <c r="E45" s="45" t="s">
        <v>205</v>
      </c>
      <c r="F45" s="52" t="s">
        <v>139</v>
      </c>
      <c r="G45" s="202" t="s">
        <v>139</v>
      </c>
      <c r="H45" s="52" t="s">
        <v>139</v>
      </c>
      <c r="I45" s="52" t="s">
        <v>139</v>
      </c>
      <c r="J45" s="52"/>
      <c r="K45" s="52" t="s">
        <v>139</v>
      </c>
      <c r="L45" s="52" t="s">
        <v>139</v>
      </c>
      <c r="M45" s="112">
        <v>6.0</v>
      </c>
      <c r="N45" s="28">
        <v>1.0</v>
      </c>
      <c r="O45" s="205">
        <v>3.0</v>
      </c>
      <c r="P45" s="75">
        <f t="shared" si="5"/>
        <v>10</v>
      </c>
      <c r="S45" s="44">
        <f t="shared" si="6"/>
        <v>10</v>
      </c>
    </row>
    <row r="46">
      <c r="B46" s="52" t="s">
        <v>243</v>
      </c>
      <c r="C46" s="53">
        <v>5.9304388E7</v>
      </c>
      <c r="D46" s="202" t="s">
        <v>71</v>
      </c>
      <c r="E46" s="1" t="s">
        <v>72</v>
      </c>
      <c r="F46" s="1"/>
      <c r="G46" s="1" t="s">
        <v>139</v>
      </c>
      <c r="H46" s="1" t="s">
        <v>139</v>
      </c>
      <c r="I46" s="1" t="s">
        <v>139</v>
      </c>
      <c r="J46" s="1"/>
      <c r="K46" s="1" t="s">
        <v>139</v>
      </c>
      <c r="L46" s="195" t="s">
        <v>139</v>
      </c>
      <c r="M46" s="28">
        <v>6.0</v>
      </c>
      <c r="O46" s="205">
        <v>3.0</v>
      </c>
      <c r="P46" s="75">
        <f>sum(L46:O46)</f>
        <v>9</v>
      </c>
      <c r="S46" s="44">
        <f t="shared" si="6"/>
        <v>9</v>
      </c>
    </row>
    <row r="47">
      <c r="B47" s="52" t="s">
        <v>243</v>
      </c>
      <c r="C47" s="53">
        <v>6.0164305E7</v>
      </c>
      <c r="D47" s="52" t="s">
        <v>265</v>
      </c>
      <c r="E47" s="1" t="s">
        <v>266</v>
      </c>
      <c r="F47" s="1" t="s">
        <v>139</v>
      </c>
      <c r="G47" s="1"/>
      <c r="H47" s="1"/>
      <c r="I47" s="1" t="s">
        <v>139</v>
      </c>
      <c r="J47" s="1" t="s">
        <v>139</v>
      </c>
      <c r="K47" s="1" t="s">
        <v>139</v>
      </c>
      <c r="L47" s="1" t="s">
        <v>139</v>
      </c>
      <c r="M47" s="28">
        <v>2.0</v>
      </c>
      <c r="N47" s="28">
        <v>1.0</v>
      </c>
      <c r="O47" s="205">
        <v>3.0</v>
      </c>
      <c r="P47" s="75">
        <f t="shared" ref="P47:P57" si="7">sum(M47:O47)</f>
        <v>6</v>
      </c>
      <c r="S47" s="44">
        <f t="shared" si="6"/>
        <v>6</v>
      </c>
    </row>
    <row r="48">
      <c r="B48" s="45" t="s">
        <v>248</v>
      </c>
      <c r="C48" s="53">
        <v>5.9303299E7</v>
      </c>
      <c r="D48" s="52" t="s">
        <v>267</v>
      </c>
      <c r="E48" s="1" t="s">
        <v>86</v>
      </c>
      <c r="F48" s="1"/>
      <c r="G48" s="1" t="s">
        <v>139</v>
      </c>
      <c r="H48" s="1"/>
      <c r="I48" s="1"/>
      <c r="J48" s="1"/>
      <c r="K48" s="1"/>
      <c r="L48" s="1" t="s">
        <v>139</v>
      </c>
      <c r="O48" s="204">
        <f t="shared" ref="O48:O57" si="8">ROUNDUP((COUNTIF(F48:K48,"Y")/6)*3,0)</f>
        <v>1</v>
      </c>
      <c r="P48" s="75">
        <f t="shared" si="7"/>
        <v>1</v>
      </c>
      <c r="R48" s="28">
        <v>2.0</v>
      </c>
      <c r="S48" s="44">
        <f t="shared" si="6"/>
        <v>3</v>
      </c>
    </row>
    <row r="49">
      <c r="B49" s="45" t="s">
        <v>248</v>
      </c>
      <c r="C49" s="53">
        <v>5.9282552E7</v>
      </c>
      <c r="D49" s="52" t="s">
        <v>268</v>
      </c>
      <c r="E49" s="1" t="s">
        <v>269</v>
      </c>
      <c r="F49" s="1" t="s">
        <v>139</v>
      </c>
      <c r="G49" s="1"/>
      <c r="H49" s="1"/>
      <c r="I49" s="1"/>
      <c r="J49" s="1"/>
      <c r="K49" s="1"/>
      <c r="L49" s="1" t="s">
        <v>139</v>
      </c>
      <c r="O49" s="204">
        <f t="shared" si="8"/>
        <v>1</v>
      </c>
      <c r="P49" s="75">
        <f t="shared" si="7"/>
        <v>1</v>
      </c>
      <c r="R49" s="28">
        <v>2.0</v>
      </c>
      <c r="S49" s="44">
        <f t="shared" si="6"/>
        <v>3</v>
      </c>
    </row>
    <row r="50">
      <c r="B50" s="45" t="s">
        <v>248</v>
      </c>
      <c r="C50" s="53">
        <v>5.92947E7</v>
      </c>
      <c r="D50" s="52" t="s">
        <v>234</v>
      </c>
      <c r="E50" s="1" t="s">
        <v>145</v>
      </c>
      <c r="F50" s="1" t="s">
        <v>139</v>
      </c>
      <c r="G50" s="1"/>
      <c r="H50" s="1"/>
      <c r="I50" s="1"/>
      <c r="J50" s="1"/>
      <c r="K50" s="1"/>
      <c r="L50" s="1" t="s">
        <v>139</v>
      </c>
      <c r="O50" s="204">
        <f t="shared" si="8"/>
        <v>1</v>
      </c>
      <c r="P50" s="75">
        <f t="shared" si="7"/>
        <v>1</v>
      </c>
      <c r="R50" s="28">
        <v>2.0</v>
      </c>
      <c r="S50" s="44">
        <f t="shared" si="6"/>
        <v>3</v>
      </c>
    </row>
    <row r="51">
      <c r="B51" s="45" t="s">
        <v>248</v>
      </c>
      <c r="C51" s="53">
        <v>5.859011E7</v>
      </c>
      <c r="D51" s="52" t="s">
        <v>270</v>
      </c>
      <c r="E51" s="1" t="s">
        <v>75</v>
      </c>
      <c r="F51" s="1"/>
      <c r="G51" s="1"/>
      <c r="H51" s="1"/>
      <c r="I51" s="1"/>
      <c r="J51" s="1"/>
      <c r="K51" s="1"/>
      <c r="L51" s="1" t="s">
        <v>139</v>
      </c>
      <c r="O51" s="204">
        <f t="shared" si="8"/>
        <v>0</v>
      </c>
      <c r="P51" s="75">
        <f t="shared" si="7"/>
        <v>0</v>
      </c>
      <c r="R51" s="28">
        <v>2.0</v>
      </c>
      <c r="S51" s="44">
        <f t="shared" si="6"/>
        <v>2</v>
      </c>
    </row>
    <row r="52">
      <c r="B52" s="202" t="s">
        <v>248</v>
      </c>
      <c r="C52" s="53">
        <v>5.9283561E7</v>
      </c>
      <c r="D52" s="52" t="s">
        <v>271</v>
      </c>
      <c r="E52" s="1" t="s">
        <v>80</v>
      </c>
      <c r="F52" s="1"/>
      <c r="G52" s="1"/>
      <c r="H52" s="1"/>
      <c r="I52" s="1"/>
      <c r="J52" s="1"/>
      <c r="K52" s="1"/>
      <c r="L52" s="1" t="s">
        <v>139</v>
      </c>
      <c r="O52" s="204">
        <f t="shared" si="8"/>
        <v>0</v>
      </c>
      <c r="P52" s="75">
        <f t="shared" si="7"/>
        <v>0</v>
      </c>
      <c r="R52" s="28">
        <v>2.0</v>
      </c>
      <c r="S52" s="44">
        <f t="shared" si="6"/>
        <v>2</v>
      </c>
    </row>
    <row r="53">
      <c r="B53" s="45" t="s">
        <v>254</v>
      </c>
      <c r="C53" s="55">
        <v>5.8730226E7</v>
      </c>
      <c r="D53" s="52" t="s">
        <v>187</v>
      </c>
      <c r="E53" s="1" t="s">
        <v>145</v>
      </c>
      <c r="F53" s="1" t="s">
        <v>139</v>
      </c>
      <c r="G53" s="1"/>
      <c r="H53" s="1"/>
      <c r="I53" s="1"/>
      <c r="J53" s="1"/>
      <c r="K53" s="1"/>
      <c r="L53" s="1"/>
      <c r="O53" s="204">
        <f t="shared" si="8"/>
        <v>1</v>
      </c>
      <c r="P53" s="75">
        <f t="shared" si="7"/>
        <v>1</v>
      </c>
      <c r="S53" s="44">
        <f t="shared" si="6"/>
        <v>1</v>
      </c>
    </row>
    <row r="54">
      <c r="B54" s="45" t="s">
        <v>254</v>
      </c>
      <c r="C54" s="53">
        <v>5.853031E7</v>
      </c>
      <c r="D54" s="52" t="s">
        <v>153</v>
      </c>
      <c r="E54" s="1" t="s">
        <v>272</v>
      </c>
      <c r="F54" s="1" t="s">
        <v>139</v>
      </c>
      <c r="G54" s="1"/>
      <c r="H54" s="1"/>
      <c r="I54" s="1"/>
      <c r="J54" s="1"/>
      <c r="K54" s="1"/>
      <c r="L54" s="1"/>
      <c r="O54" s="204">
        <f t="shared" si="8"/>
        <v>1</v>
      </c>
      <c r="P54" s="75">
        <f t="shared" si="7"/>
        <v>1</v>
      </c>
      <c r="S54" s="44">
        <f t="shared" si="6"/>
        <v>1</v>
      </c>
    </row>
    <row r="55">
      <c r="B55" s="45" t="s">
        <v>254</v>
      </c>
      <c r="C55" s="53">
        <v>5.9288685E7</v>
      </c>
      <c r="D55" s="52" t="s">
        <v>273</v>
      </c>
      <c r="E55" s="1" t="s">
        <v>274</v>
      </c>
      <c r="F55" s="1"/>
      <c r="G55" s="1" t="s">
        <v>139</v>
      </c>
      <c r="H55" s="1"/>
      <c r="I55" s="1"/>
      <c r="J55" s="1"/>
      <c r="K55" s="1"/>
      <c r="L55" s="1"/>
      <c r="O55" s="204">
        <f t="shared" si="8"/>
        <v>1</v>
      </c>
      <c r="P55" s="75">
        <f t="shared" si="7"/>
        <v>1</v>
      </c>
      <c r="S55" s="44">
        <f t="shared" si="6"/>
        <v>1</v>
      </c>
    </row>
    <row r="56">
      <c r="B56" s="45" t="s">
        <v>254</v>
      </c>
      <c r="C56" s="53">
        <v>6.0161708E7</v>
      </c>
      <c r="D56" s="52" t="s">
        <v>275</v>
      </c>
      <c r="E56" s="1" t="s">
        <v>276</v>
      </c>
      <c r="F56" s="1"/>
      <c r="G56" s="1" t="s">
        <v>139</v>
      </c>
      <c r="H56" s="1"/>
      <c r="I56" s="1"/>
      <c r="J56" s="1"/>
      <c r="K56" s="1"/>
      <c r="L56" s="1"/>
      <c r="O56" s="204">
        <f t="shared" si="8"/>
        <v>1</v>
      </c>
      <c r="P56" s="75">
        <f t="shared" si="7"/>
        <v>1</v>
      </c>
      <c r="S56" s="44">
        <f t="shared" si="6"/>
        <v>1</v>
      </c>
    </row>
    <row r="57">
      <c r="B57" s="45" t="s">
        <v>254</v>
      </c>
      <c r="C57" s="53">
        <v>5.8781183E7</v>
      </c>
      <c r="D57" s="52" t="s">
        <v>277</v>
      </c>
      <c r="E57" s="1" t="s">
        <v>276</v>
      </c>
      <c r="F57" s="1"/>
      <c r="G57" s="1" t="s">
        <v>139</v>
      </c>
      <c r="H57" s="1"/>
      <c r="I57" s="1"/>
      <c r="J57" s="1"/>
      <c r="K57" s="1"/>
      <c r="L57" s="1"/>
      <c r="O57" s="204">
        <f t="shared" si="8"/>
        <v>1</v>
      </c>
      <c r="P57" s="75">
        <f t="shared" si="7"/>
        <v>1</v>
      </c>
      <c r="S57" s="44">
        <f t="shared" si="6"/>
        <v>1</v>
      </c>
    </row>
  </sheetData>
  <autoFilter ref="$A$22:$S$40">
    <sortState ref="A22:S40">
      <sortCondition descending="1" ref="S22:S40"/>
    </sortState>
  </autoFilter>
  <drawing r:id="rId1"/>
  <tableParts count="4"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3" max="3" width="19.63"/>
    <col customWidth="1" min="4" max="4" width="21.13"/>
    <col customWidth="1" min="6" max="11" width="18.0"/>
    <col customWidth="1" min="12" max="12" width="9.88"/>
    <col customWidth="1" min="13" max="13" width="10.63"/>
    <col customWidth="1" min="14" max="14" width="17.75"/>
    <col customWidth="1" min="15" max="15" width="16.5"/>
  </cols>
  <sheetData>
    <row r="1">
      <c r="A1" s="92"/>
      <c r="B1" s="92"/>
      <c r="C1" s="2" t="s">
        <v>0</v>
      </c>
      <c r="D1" s="3" t="s">
        <v>1</v>
      </c>
      <c r="E1" s="93"/>
      <c r="F1" s="94"/>
      <c r="G1" s="94"/>
      <c r="H1" s="94"/>
      <c r="I1" s="94"/>
      <c r="J1" s="94"/>
      <c r="K1" s="94"/>
      <c r="L1" s="94"/>
      <c r="M1" s="94"/>
      <c r="N1" s="1"/>
      <c r="O1" s="1"/>
      <c r="P1" s="1"/>
      <c r="Q1" s="1"/>
      <c r="R1" s="1"/>
    </row>
    <row r="2">
      <c r="A2" s="92"/>
      <c r="B2" s="92"/>
      <c r="C2" s="2"/>
      <c r="D2" s="7" t="s">
        <v>2</v>
      </c>
      <c r="E2" s="93"/>
      <c r="F2" s="94"/>
      <c r="G2" s="94"/>
      <c r="H2" s="94"/>
      <c r="I2" s="94"/>
      <c r="J2" s="94"/>
      <c r="K2" s="94"/>
      <c r="L2" s="94"/>
      <c r="M2" s="94"/>
      <c r="N2" s="1"/>
      <c r="O2" s="1"/>
      <c r="P2" s="1"/>
      <c r="Q2" s="1"/>
      <c r="R2" s="1"/>
    </row>
    <row r="3">
      <c r="A3" s="92"/>
      <c r="B3" s="92"/>
      <c r="C3" s="2"/>
      <c r="D3" s="3" t="s">
        <v>3</v>
      </c>
      <c r="E3" s="93"/>
      <c r="F3" s="94"/>
      <c r="G3" s="94"/>
      <c r="H3" s="94"/>
      <c r="I3" s="94"/>
      <c r="J3" s="94"/>
      <c r="K3" s="94"/>
      <c r="L3" s="94"/>
      <c r="M3" s="94"/>
      <c r="N3" s="1"/>
      <c r="O3" s="1"/>
      <c r="P3" s="1"/>
      <c r="Q3" s="1"/>
      <c r="R3" s="1"/>
    </row>
    <row r="4">
      <c r="A4" s="92"/>
      <c r="B4" s="92"/>
      <c r="C4" s="2"/>
      <c r="D4" s="8" t="s">
        <v>4</v>
      </c>
      <c r="E4" s="93"/>
      <c r="F4" s="94"/>
      <c r="G4" s="94"/>
      <c r="H4" s="94"/>
      <c r="I4" s="94"/>
      <c r="J4" s="94"/>
      <c r="K4" s="94"/>
      <c r="L4" s="94"/>
      <c r="M4" s="94"/>
      <c r="N4" s="1"/>
      <c r="O4" s="1"/>
      <c r="P4" s="1"/>
      <c r="Q4" s="1"/>
      <c r="R4" s="1"/>
    </row>
    <row r="5">
      <c r="A5" s="92"/>
      <c r="B5" s="92"/>
      <c r="C5" s="2"/>
      <c r="D5" s="12" t="s">
        <v>5</v>
      </c>
      <c r="E5" s="93"/>
      <c r="F5" s="94"/>
      <c r="G5" s="94"/>
      <c r="H5" s="94"/>
      <c r="I5" s="94"/>
      <c r="J5" s="94"/>
      <c r="K5" s="94"/>
      <c r="L5" s="94"/>
      <c r="M5" s="94"/>
      <c r="N5" s="1"/>
      <c r="O5" s="1"/>
      <c r="P5" s="1"/>
      <c r="Q5" s="1"/>
      <c r="R5" s="1"/>
    </row>
    <row r="6">
      <c r="A6" s="92"/>
      <c r="B6" s="92"/>
      <c r="C6" s="2"/>
      <c r="D6" s="12"/>
      <c r="E6" s="93"/>
      <c r="F6" s="93"/>
      <c r="G6" s="93"/>
      <c r="H6" s="93"/>
      <c r="I6" s="93"/>
      <c r="J6" s="93"/>
      <c r="K6" s="93"/>
      <c r="L6" s="93"/>
      <c r="M6" s="93"/>
      <c r="N6" s="1"/>
      <c r="O6" s="1"/>
      <c r="P6" s="1"/>
      <c r="Q6" s="1"/>
      <c r="R6" s="1"/>
    </row>
    <row r="7">
      <c r="A7" s="92"/>
      <c r="B7" s="92"/>
      <c r="C7" s="2"/>
      <c r="D7" s="16" t="s">
        <v>6</v>
      </c>
      <c r="E7" s="93"/>
      <c r="F7" s="94"/>
      <c r="G7" s="94"/>
      <c r="H7" s="94"/>
      <c r="I7" s="94"/>
      <c r="J7" s="94"/>
      <c r="K7" s="94"/>
      <c r="L7" s="94"/>
      <c r="M7" s="94"/>
      <c r="N7" s="1"/>
      <c r="O7" s="1"/>
      <c r="P7" s="1"/>
      <c r="Q7" s="1"/>
      <c r="R7" s="1"/>
    </row>
    <row r="8">
      <c r="A8" s="92"/>
      <c r="B8" s="92"/>
      <c r="C8" s="19"/>
      <c r="D8" s="20" t="s">
        <v>7</v>
      </c>
      <c r="H8" s="30"/>
      <c r="I8" s="30"/>
      <c r="J8" s="30"/>
      <c r="K8" s="30"/>
    </row>
    <row r="9">
      <c r="A9" s="92"/>
      <c r="B9" s="92"/>
      <c r="C9" s="19"/>
      <c r="D9" s="20" t="s">
        <v>8</v>
      </c>
      <c r="H9" s="30"/>
      <c r="I9" s="30"/>
      <c r="J9" s="30"/>
      <c r="K9" s="30"/>
    </row>
    <row r="10">
      <c r="A10" s="92"/>
      <c r="B10" s="92"/>
      <c r="C10" s="19"/>
      <c r="D10" s="20" t="s">
        <v>9</v>
      </c>
      <c r="H10" s="30"/>
      <c r="I10" s="30"/>
      <c r="J10" s="30"/>
      <c r="K10" s="30"/>
    </row>
    <row r="11">
      <c r="A11" s="92"/>
      <c r="B11" s="92"/>
      <c r="C11" s="19"/>
      <c r="D11" s="19" t="s">
        <v>10</v>
      </c>
      <c r="E11" s="19"/>
      <c r="F11" s="19"/>
      <c r="G11" s="19"/>
      <c r="H11" s="19"/>
      <c r="I11" s="19"/>
      <c r="J11" s="19"/>
      <c r="K11" s="19"/>
      <c r="L11" s="19"/>
      <c r="M11" s="19"/>
      <c r="S11" s="172"/>
      <c r="T11" s="172"/>
    </row>
    <row r="12">
      <c r="A12" s="92"/>
      <c r="B12" s="92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S12" s="172"/>
      <c r="T12" s="172"/>
    </row>
    <row r="13">
      <c r="A13" s="92"/>
      <c r="B13" s="92"/>
      <c r="C13" s="24" t="s">
        <v>13</v>
      </c>
      <c r="F13" s="25" t="s">
        <v>14</v>
      </c>
      <c r="G13" s="95"/>
      <c r="H13" s="95"/>
      <c r="I13" s="95"/>
      <c r="J13" s="95"/>
      <c r="K13" s="95"/>
      <c r="L13" s="96"/>
      <c r="M13" s="96"/>
      <c r="N13" s="96"/>
      <c r="O13" s="96"/>
      <c r="P13" s="96"/>
      <c r="Q13" s="97"/>
      <c r="R13" s="96"/>
      <c r="S13" s="172"/>
      <c r="T13" s="172"/>
    </row>
    <row r="14">
      <c r="A14" s="98"/>
      <c r="E14" s="99" t="s">
        <v>25</v>
      </c>
      <c r="S14" s="172"/>
      <c r="T14" s="172"/>
      <c r="W14" s="43" t="s">
        <v>131</v>
      </c>
      <c r="X14" s="44">
        <f>sum(V:V)</f>
        <v>108</v>
      </c>
    </row>
    <row r="15">
      <c r="A15" s="92"/>
      <c r="B15" s="98" t="s">
        <v>129</v>
      </c>
      <c r="C15" s="164">
        <v>5.865425E7</v>
      </c>
      <c r="D15" s="81" t="s">
        <v>30</v>
      </c>
      <c r="E15" s="81" t="s">
        <v>101</v>
      </c>
      <c r="F15" s="171">
        <v>5.0</v>
      </c>
      <c r="G15" s="102"/>
      <c r="H15" s="102"/>
      <c r="I15" s="102"/>
      <c r="J15" s="102"/>
      <c r="K15" s="102"/>
      <c r="L15" s="102"/>
      <c r="M15" s="28"/>
      <c r="N15" s="28"/>
      <c r="O15" s="28"/>
      <c r="P15" s="96"/>
      <c r="Q15" s="96"/>
      <c r="R15" s="96"/>
      <c r="S15" s="97"/>
      <c r="T15" s="172"/>
    </row>
    <row r="16">
      <c r="C16" s="191"/>
      <c r="D16" s="192"/>
      <c r="E16" s="191"/>
      <c r="F16" s="40"/>
      <c r="G16" s="40"/>
      <c r="H16" s="40"/>
      <c r="I16" s="40"/>
      <c r="J16" s="40"/>
      <c r="K16" s="40"/>
      <c r="L16" s="40"/>
      <c r="S16" s="172"/>
      <c r="T16" s="172"/>
    </row>
    <row r="17">
      <c r="A17" s="98"/>
      <c r="E17" s="40" t="s">
        <v>25</v>
      </c>
      <c r="F17" s="40" t="s">
        <v>278</v>
      </c>
      <c r="G17" s="40" t="s">
        <v>279</v>
      </c>
      <c r="H17" s="40" t="s">
        <v>280</v>
      </c>
      <c r="I17" s="206" t="s">
        <v>281</v>
      </c>
      <c r="J17" s="40" t="s">
        <v>282</v>
      </c>
      <c r="K17" s="40" t="s">
        <v>283</v>
      </c>
      <c r="L17" s="206" t="s">
        <v>284</v>
      </c>
      <c r="M17" s="40" t="s">
        <v>285</v>
      </c>
      <c r="N17" s="206" t="s">
        <v>286</v>
      </c>
      <c r="O17" s="206" t="s">
        <v>287</v>
      </c>
      <c r="P17" s="42" t="s">
        <v>53</v>
      </c>
      <c r="Q17" s="42" t="s">
        <v>54</v>
      </c>
      <c r="R17" s="42" t="s">
        <v>55</v>
      </c>
      <c r="S17" s="42" t="s">
        <v>56</v>
      </c>
      <c r="T17" s="42" t="s">
        <v>57</v>
      </c>
      <c r="U17" s="42" t="s">
        <v>58</v>
      </c>
      <c r="V17" s="11" t="s">
        <v>59</v>
      </c>
    </row>
    <row r="18">
      <c r="B18" s="98" t="s">
        <v>125</v>
      </c>
      <c r="C18" s="164">
        <v>5.8601963E7</v>
      </c>
      <c r="D18" s="81" t="s">
        <v>218</v>
      </c>
      <c r="E18" s="81" t="s">
        <v>93</v>
      </c>
      <c r="F18" s="207" t="s">
        <v>288</v>
      </c>
      <c r="G18" s="207" t="s">
        <v>288</v>
      </c>
      <c r="H18" s="208"/>
      <c r="I18" s="207" t="s">
        <v>288</v>
      </c>
      <c r="J18" s="208"/>
      <c r="K18" s="208"/>
      <c r="L18" s="208"/>
      <c r="M18" s="207" t="s">
        <v>288</v>
      </c>
      <c r="N18" s="209" t="s">
        <v>289</v>
      </c>
      <c r="O18" s="207" t="s">
        <v>288</v>
      </c>
      <c r="P18" s="112">
        <v>2.5</v>
      </c>
      <c r="Q18" s="112"/>
      <c r="R18" s="172">
        <f t="shared" ref="R18:R19" si="1">ROUNDUP((COUNTIF(F18:M18,"✓")/8)*3,0)</f>
        <v>2</v>
      </c>
      <c r="S18" s="102">
        <f t="shared" ref="S18:S19" si="2">sum(P18:R18)</f>
        <v>4.5</v>
      </c>
      <c r="T18" s="96"/>
      <c r="U18" s="96"/>
      <c r="V18" s="43">
        <f t="shared" ref="V18:V19" si="3">sum(S18:U18)</f>
        <v>4.5</v>
      </c>
    </row>
    <row r="19">
      <c r="C19" s="210">
        <v>5.92947E7</v>
      </c>
      <c r="D19" s="211" t="s">
        <v>290</v>
      </c>
      <c r="E19" s="84" t="s">
        <v>145</v>
      </c>
      <c r="F19" s="207" t="s">
        <v>288</v>
      </c>
      <c r="G19" s="207" t="s">
        <v>288</v>
      </c>
      <c r="H19" s="212"/>
      <c r="I19" s="213"/>
      <c r="J19" s="212"/>
      <c r="K19" s="212"/>
      <c r="L19" s="208"/>
      <c r="M19" s="207" t="s">
        <v>288</v>
      </c>
      <c r="N19" s="207" t="s">
        <v>288</v>
      </c>
      <c r="O19" s="207" t="s">
        <v>288</v>
      </c>
      <c r="P19" s="112">
        <v>2.5</v>
      </c>
      <c r="Q19" s="214"/>
      <c r="R19" s="172">
        <f t="shared" si="1"/>
        <v>2</v>
      </c>
      <c r="S19" s="102">
        <f t="shared" si="2"/>
        <v>4.5</v>
      </c>
      <c r="T19" s="104"/>
      <c r="U19" s="104"/>
      <c r="V19" s="43">
        <f t="shared" si="3"/>
        <v>4.5</v>
      </c>
    </row>
    <row r="21">
      <c r="B21" s="28" t="s">
        <v>89</v>
      </c>
      <c r="E21" s="40" t="s">
        <v>25</v>
      </c>
      <c r="F21" s="40" t="s">
        <v>278</v>
      </c>
      <c r="G21" s="40" t="s">
        <v>279</v>
      </c>
      <c r="H21" s="40" t="s">
        <v>280</v>
      </c>
      <c r="I21" s="206" t="s">
        <v>281</v>
      </c>
      <c r="J21" s="40" t="s">
        <v>282</v>
      </c>
      <c r="K21" s="40" t="s">
        <v>283</v>
      </c>
      <c r="N21" s="206" t="s">
        <v>286</v>
      </c>
      <c r="O21" s="206" t="s">
        <v>287</v>
      </c>
      <c r="P21" s="42" t="s">
        <v>53</v>
      </c>
      <c r="Q21" s="42" t="s">
        <v>54</v>
      </c>
      <c r="R21" s="42" t="s">
        <v>55</v>
      </c>
      <c r="S21" s="42" t="s">
        <v>56</v>
      </c>
      <c r="T21" s="42" t="s">
        <v>57</v>
      </c>
      <c r="U21" s="42" t="s">
        <v>58</v>
      </c>
      <c r="V21" s="11" t="s">
        <v>59</v>
      </c>
    </row>
    <row r="22">
      <c r="B22" s="81" t="s">
        <v>243</v>
      </c>
      <c r="C22" s="215">
        <v>5.858385E7</v>
      </c>
      <c r="D22" s="88" t="s">
        <v>90</v>
      </c>
      <c r="E22" s="216" t="s">
        <v>91</v>
      </c>
      <c r="F22" s="217" t="s">
        <v>288</v>
      </c>
      <c r="G22" s="207" t="s">
        <v>288</v>
      </c>
      <c r="H22" s="207" t="s">
        <v>288</v>
      </c>
      <c r="I22" s="81"/>
      <c r="J22" s="207" t="s">
        <v>288</v>
      </c>
      <c r="K22" s="207" t="s">
        <v>288</v>
      </c>
      <c r="N22" s="218" t="s">
        <v>288</v>
      </c>
      <c r="P22" s="75">
        <v>6.0</v>
      </c>
      <c r="R22" s="75">
        <f t="shared" ref="R22:R31" si="4">ROUNDUP((COUNTIF(F22:K22,"✓")/5)*3,0)</f>
        <v>3</v>
      </c>
      <c r="S22" s="75">
        <f t="shared" ref="S22:S31" si="5">SUM(P22:R22)</f>
        <v>9</v>
      </c>
      <c r="V22" s="44">
        <f t="shared" ref="V22:V31" si="6">SUM(S22:U22)</f>
        <v>9</v>
      </c>
    </row>
    <row r="23">
      <c r="B23" s="81" t="s">
        <v>243</v>
      </c>
      <c r="C23" s="219">
        <v>6.0169141E7</v>
      </c>
      <c r="D23" s="220" t="s">
        <v>291</v>
      </c>
      <c r="E23" s="220" t="s">
        <v>292</v>
      </c>
      <c r="F23" s="221"/>
      <c r="G23" s="81"/>
      <c r="H23" s="207" t="s">
        <v>288</v>
      </c>
      <c r="I23" s="81"/>
      <c r="J23" s="81"/>
      <c r="K23" s="207" t="s">
        <v>288</v>
      </c>
      <c r="N23" s="218" t="s">
        <v>288</v>
      </c>
      <c r="P23" s="75">
        <v>6.0</v>
      </c>
      <c r="R23" s="75">
        <f t="shared" si="4"/>
        <v>2</v>
      </c>
      <c r="S23" s="75">
        <f t="shared" si="5"/>
        <v>8</v>
      </c>
      <c r="V23" s="44">
        <f t="shared" si="6"/>
        <v>8</v>
      </c>
    </row>
    <row r="24">
      <c r="B24" s="81" t="s">
        <v>243</v>
      </c>
      <c r="C24" s="222">
        <v>5.8607629E7</v>
      </c>
      <c r="D24" s="223" t="s">
        <v>105</v>
      </c>
      <c r="E24" s="223" t="s">
        <v>106</v>
      </c>
      <c r="F24" s="84"/>
      <c r="G24" s="81"/>
      <c r="H24" s="81"/>
      <c r="I24" s="81"/>
      <c r="J24" s="207" t="s">
        <v>288</v>
      </c>
      <c r="K24" s="207" t="s">
        <v>288</v>
      </c>
      <c r="N24" s="218" t="s">
        <v>288</v>
      </c>
      <c r="P24" s="75">
        <v>6.0</v>
      </c>
      <c r="R24" s="75">
        <f t="shared" si="4"/>
        <v>2</v>
      </c>
      <c r="S24" s="75">
        <f t="shared" si="5"/>
        <v>8</v>
      </c>
      <c r="V24" s="44">
        <f t="shared" si="6"/>
        <v>8</v>
      </c>
    </row>
    <row r="25">
      <c r="B25" s="81" t="s">
        <v>243</v>
      </c>
      <c r="C25" s="215">
        <v>5.8466564E7</v>
      </c>
      <c r="D25" s="216" t="s">
        <v>293</v>
      </c>
      <c r="E25" s="216" t="s">
        <v>222</v>
      </c>
      <c r="F25" s="217" t="s">
        <v>288</v>
      </c>
      <c r="G25" s="81"/>
      <c r="H25" s="81"/>
      <c r="I25" s="81"/>
      <c r="J25" s="207" t="s">
        <v>288</v>
      </c>
      <c r="K25" s="207" t="s">
        <v>288</v>
      </c>
      <c r="N25" s="218" t="s">
        <v>288</v>
      </c>
      <c r="P25" s="75">
        <v>6.0</v>
      </c>
      <c r="R25" s="75">
        <f t="shared" si="4"/>
        <v>2</v>
      </c>
      <c r="S25" s="75">
        <f t="shared" si="5"/>
        <v>8</v>
      </c>
      <c r="V25" s="44">
        <f t="shared" si="6"/>
        <v>8</v>
      </c>
    </row>
    <row r="26">
      <c r="B26" s="81" t="s">
        <v>243</v>
      </c>
      <c r="C26" s="222">
        <v>5.7931002E7</v>
      </c>
      <c r="D26" s="223" t="s">
        <v>294</v>
      </c>
      <c r="E26" s="223" t="s">
        <v>222</v>
      </c>
      <c r="F26" s="224" t="s">
        <v>288</v>
      </c>
      <c r="G26" s="81"/>
      <c r="H26" s="81"/>
      <c r="I26" s="81"/>
      <c r="J26" s="207" t="s">
        <v>288</v>
      </c>
      <c r="K26" s="207" t="s">
        <v>288</v>
      </c>
      <c r="N26" s="218" t="s">
        <v>288</v>
      </c>
      <c r="P26" s="75">
        <v>6.0</v>
      </c>
      <c r="R26" s="75">
        <f t="shared" si="4"/>
        <v>2</v>
      </c>
      <c r="S26" s="75">
        <f t="shared" si="5"/>
        <v>8</v>
      </c>
      <c r="V26" s="44">
        <f t="shared" si="6"/>
        <v>8</v>
      </c>
    </row>
    <row r="27">
      <c r="B27" s="81" t="s">
        <v>243</v>
      </c>
      <c r="C27" s="215">
        <v>5.866051E7</v>
      </c>
      <c r="D27" s="225" t="s">
        <v>295</v>
      </c>
      <c r="E27" s="216" t="s">
        <v>251</v>
      </c>
      <c r="F27" s="217" t="s">
        <v>288</v>
      </c>
      <c r="G27" s="81"/>
      <c r="H27" s="207" t="s">
        <v>288</v>
      </c>
      <c r="I27" s="81"/>
      <c r="J27" s="207" t="s">
        <v>288</v>
      </c>
      <c r="K27" s="81"/>
      <c r="N27" s="218" t="s">
        <v>288</v>
      </c>
      <c r="O27" s="218" t="s">
        <v>288</v>
      </c>
      <c r="P27" s="28">
        <v>3.0</v>
      </c>
      <c r="R27" s="75">
        <f t="shared" si="4"/>
        <v>2</v>
      </c>
      <c r="S27" s="75">
        <f t="shared" si="5"/>
        <v>5</v>
      </c>
      <c r="U27" s="28">
        <v>2.0</v>
      </c>
      <c r="V27" s="44">
        <f t="shared" si="6"/>
        <v>7</v>
      </c>
    </row>
    <row r="28">
      <c r="B28" s="81" t="s">
        <v>243</v>
      </c>
      <c r="C28" s="215">
        <v>5.7794549E7</v>
      </c>
      <c r="D28" s="216" t="s">
        <v>296</v>
      </c>
      <c r="E28" s="216" t="s">
        <v>108</v>
      </c>
      <c r="F28" s="217" t="s">
        <v>288</v>
      </c>
      <c r="G28" s="81"/>
      <c r="H28" s="81"/>
      <c r="I28" s="81"/>
      <c r="J28" s="207" t="s">
        <v>288</v>
      </c>
      <c r="K28" s="207" t="s">
        <v>288</v>
      </c>
      <c r="N28" s="218" t="s">
        <v>288</v>
      </c>
      <c r="P28" s="75">
        <v>2.0</v>
      </c>
      <c r="R28" s="75">
        <f t="shared" si="4"/>
        <v>2</v>
      </c>
      <c r="S28" s="75">
        <f t="shared" si="5"/>
        <v>4</v>
      </c>
      <c r="V28" s="44">
        <f t="shared" si="6"/>
        <v>4</v>
      </c>
    </row>
    <row r="29">
      <c r="B29" s="81" t="s">
        <v>243</v>
      </c>
      <c r="C29" s="222">
        <v>5.7848199E7</v>
      </c>
      <c r="D29" s="223" t="s">
        <v>297</v>
      </c>
      <c r="E29" s="223" t="s">
        <v>298</v>
      </c>
      <c r="F29" s="84"/>
      <c r="G29" s="81"/>
      <c r="H29" s="81"/>
      <c r="I29" s="81"/>
      <c r="J29" s="207"/>
      <c r="K29" s="207" t="s">
        <v>288</v>
      </c>
      <c r="N29" s="218" t="s">
        <v>288</v>
      </c>
      <c r="P29" s="75">
        <v>2.0</v>
      </c>
      <c r="R29" s="75">
        <f t="shared" si="4"/>
        <v>1</v>
      </c>
      <c r="S29" s="75">
        <f t="shared" si="5"/>
        <v>3</v>
      </c>
      <c r="V29" s="44">
        <f t="shared" si="6"/>
        <v>3</v>
      </c>
    </row>
    <row r="30">
      <c r="B30" s="167" t="s">
        <v>183</v>
      </c>
      <c r="C30" s="215">
        <v>5.8786756E7</v>
      </c>
      <c r="D30" s="216" t="s">
        <v>299</v>
      </c>
      <c r="E30" s="216" t="s">
        <v>101</v>
      </c>
      <c r="F30" s="217" t="s">
        <v>288</v>
      </c>
      <c r="G30" s="81"/>
      <c r="H30" s="207" t="s">
        <v>288</v>
      </c>
      <c r="I30" s="81"/>
      <c r="J30" s="81"/>
      <c r="K30" s="81"/>
      <c r="N30" s="90"/>
      <c r="P30" s="75">
        <v>0.0</v>
      </c>
      <c r="R30" s="75">
        <f t="shared" si="4"/>
        <v>2</v>
      </c>
      <c r="S30" s="75">
        <f t="shared" si="5"/>
        <v>2</v>
      </c>
      <c r="V30" s="44">
        <f t="shared" si="6"/>
        <v>2</v>
      </c>
    </row>
    <row r="31">
      <c r="B31" s="167" t="s">
        <v>183</v>
      </c>
      <c r="C31" s="215">
        <v>5.9304929E7</v>
      </c>
      <c r="D31" s="216" t="s">
        <v>110</v>
      </c>
      <c r="E31" s="216" t="s">
        <v>99</v>
      </c>
      <c r="F31" s="217" t="s">
        <v>288</v>
      </c>
      <c r="G31" s="81"/>
      <c r="H31" s="81"/>
      <c r="I31" s="81"/>
      <c r="J31" s="81"/>
      <c r="K31" s="81"/>
      <c r="N31" s="90"/>
      <c r="P31" s="75">
        <v>0.0</v>
      </c>
      <c r="R31" s="75">
        <f t="shared" si="4"/>
        <v>1</v>
      </c>
      <c r="S31" s="75">
        <f t="shared" si="5"/>
        <v>1</v>
      </c>
      <c r="V31" s="44">
        <f t="shared" si="6"/>
        <v>1</v>
      </c>
    </row>
    <row r="32">
      <c r="B32" s="226" t="s">
        <v>81</v>
      </c>
      <c r="C32" s="28">
        <v>5.9004982E7</v>
      </c>
      <c r="D32" s="28" t="s">
        <v>181</v>
      </c>
      <c r="E32" s="226" t="s">
        <v>182</v>
      </c>
      <c r="F32" s="217"/>
      <c r="G32" s="208"/>
      <c r="H32" s="208"/>
      <c r="I32" s="208"/>
      <c r="J32" s="208"/>
      <c r="K32" s="208"/>
      <c r="N32" s="208"/>
      <c r="O32" s="218" t="s">
        <v>288</v>
      </c>
      <c r="P32" s="28">
        <v>0.0</v>
      </c>
      <c r="U32" s="28">
        <v>2.0</v>
      </c>
      <c r="V32" s="43">
        <v>2.0</v>
      </c>
    </row>
    <row r="33">
      <c r="E33" s="227"/>
      <c r="F33" s="228"/>
    </row>
    <row r="34">
      <c r="B34" s="28" t="s">
        <v>43</v>
      </c>
      <c r="E34" s="40" t="s">
        <v>25</v>
      </c>
      <c r="F34" s="40" t="s">
        <v>278</v>
      </c>
      <c r="G34" s="40" t="s">
        <v>279</v>
      </c>
      <c r="H34" s="40" t="s">
        <v>280</v>
      </c>
      <c r="I34" s="206" t="s">
        <v>281</v>
      </c>
      <c r="J34" s="40" t="s">
        <v>282</v>
      </c>
      <c r="K34" s="40" t="s">
        <v>283</v>
      </c>
      <c r="L34" s="206" t="s">
        <v>284</v>
      </c>
      <c r="M34" s="40" t="s">
        <v>285</v>
      </c>
      <c r="N34" s="206" t="s">
        <v>286</v>
      </c>
      <c r="O34" s="206" t="s">
        <v>287</v>
      </c>
      <c r="P34" s="42" t="s">
        <v>53</v>
      </c>
      <c r="Q34" s="42" t="s">
        <v>54</v>
      </c>
      <c r="R34" s="42" t="s">
        <v>55</v>
      </c>
      <c r="S34" s="42" t="s">
        <v>56</v>
      </c>
      <c r="T34" s="42" t="s">
        <v>57</v>
      </c>
      <c r="U34" s="42" t="s">
        <v>58</v>
      </c>
      <c r="V34" s="11" t="s">
        <v>59</v>
      </c>
    </row>
    <row r="35">
      <c r="B35" s="226" t="s">
        <v>243</v>
      </c>
      <c r="C35" s="229">
        <v>5.8538078E7</v>
      </c>
      <c r="D35" s="230" t="s">
        <v>300</v>
      </c>
      <c r="E35" s="230" t="s">
        <v>301</v>
      </c>
      <c r="F35" s="231"/>
      <c r="G35" s="71"/>
      <c r="H35" s="232" t="s">
        <v>288</v>
      </c>
      <c r="I35" s="71"/>
      <c r="J35" s="231"/>
      <c r="K35" s="231"/>
      <c r="L35" s="232" t="s">
        <v>288</v>
      </c>
      <c r="M35" s="232"/>
      <c r="N35" s="232" t="s">
        <v>288</v>
      </c>
      <c r="O35" s="232" t="s">
        <v>288</v>
      </c>
      <c r="P35" s="233">
        <v>4.0</v>
      </c>
      <c r="Q35" s="234"/>
      <c r="R35" s="233">
        <v>2.0</v>
      </c>
      <c r="S35" s="64">
        <f t="shared" ref="S35:S43" si="7">sum(P35:R35)</f>
        <v>6</v>
      </c>
      <c r="T35" s="234"/>
      <c r="U35" s="233">
        <v>2.0</v>
      </c>
      <c r="V35" s="235">
        <f>SUM(S35:U35)</f>
        <v>8</v>
      </c>
    </row>
    <row r="36">
      <c r="B36" s="81" t="s">
        <v>243</v>
      </c>
      <c r="C36" s="219">
        <v>5.9282552E7</v>
      </c>
      <c r="D36" s="236" t="s">
        <v>302</v>
      </c>
      <c r="E36" s="221" t="s">
        <v>269</v>
      </c>
      <c r="L36" s="237" t="s">
        <v>288</v>
      </c>
      <c r="M36" s="237" t="s">
        <v>288</v>
      </c>
      <c r="O36" s="237" t="s">
        <v>288</v>
      </c>
      <c r="P36" s="28">
        <v>4.0</v>
      </c>
      <c r="R36" s="28">
        <v>2.0</v>
      </c>
      <c r="S36" s="238">
        <f t="shared" si="7"/>
        <v>6</v>
      </c>
      <c r="V36" s="239">
        <f t="shared" ref="V36:V41" si="8">sum(S36:U36)</f>
        <v>6</v>
      </c>
    </row>
    <row r="37">
      <c r="B37" s="81" t="s">
        <v>243</v>
      </c>
      <c r="C37" s="229">
        <v>5.8612246E7</v>
      </c>
      <c r="D37" s="230" t="s">
        <v>231</v>
      </c>
      <c r="E37" s="230" t="s">
        <v>232</v>
      </c>
      <c r="L37" s="237" t="s">
        <v>288</v>
      </c>
      <c r="O37" s="237" t="s">
        <v>288</v>
      </c>
      <c r="P37" s="28">
        <v>4.0</v>
      </c>
      <c r="R37" s="28">
        <v>1.0</v>
      </c>
      <c r="S37" s="238">
        <f t="shared" si="7"/>
        <v>5</v>
      </c>
      <c r="V37" s="44">
        <f t="shared" si="8"/>
        <v>5</v>
      </c>
    </row>
    <row r="38">
      <c r="B38" s="81" t="s">
        <v>243</v>
      </c>
      <c r="C38" s="219">
        <v>5.8692856E7</v>
      </c>
      <c r="D38" s="221" t="s">
        <v>303</v>
      </c>
      <c r="E38" s="221" t="s">
        <v>304</v>
      </c>
      <c r="L38" s="237" t="s">
        <v>288</v>
      </c>
      <c r="O38" s="237" t="s">
        <v>288</v>
      </c>
      <c r="P38" s="28">
        <v>4.0</v>
      </c>
      <c r="R38" s="28">
        <v>1.0</v>
      </c>
      <c r="S38" s="238">
        <f t="shared" si="7"/>
        <v>5</v>
      </c>
      <c r="V38" s="44">
        <f t="shared" si="8"/>
        <v>5</v>
      </c>
    </row>
    <row r="39">
      <c r="B39" s="81" t="s">
        <v>243</v>
      </c>
      <c r="C39" s="240">
        <v>5.8534946E7</v>
      </c>
      <c r="D39" s="230" t="s">
        <v>305</v>
      </c>
      <c r="E39" s="230" t="s">
        <v>306</v>
      </c>
      <c r="L39" s="237"/>
      <c r="O39" s="237" t="s">
        <v>288</v>
      </c>
      <c r="P39" s="28">
        <v>4.0</v>
      </c>
      <c r="R39" s="28"/>
      <c r="S39" s="238">
        <f t="shared" si="7"/>
        <v>4</v>
      </c>
      <c r="V39" s="44">
        <f t="shared" si="8"/>
        <v>4</v>
      </c>
    </row>
    <row r="40">
      <c r="B40" s="81" t="s">
        <v>243</v>
      </c>
      <c r="C40" s="241">
        <v>5.854208E7</v>
      </c>
      <c r="D40" s="221" t="s">
        <v>307</v>
      </c>
      <c r="E40" s="221" t="s">
        <v>263</v>
      </c>
      <c r="O40" s="237" t="s">
        <v>288</v>
      </c>
      <c r="P40" s="28">
        <v>4.0</v>
      </c>
      <c r="S40" s="238">
        <f t="shared" si="7"/>
        <v>4</v>
      </c>
      <c r="V40" s="44">
        <f t="shared" si="8"/>
        <v>4</v>
      </c>
    </row>
    <row r="41">
      <c r="B41" s="167" t="s">
        <v>308</v>
      </c>
      <c r="C41" s="240">
        <v>5.9303299E7</v>
      </c>
      <c r="D41" s="230" t="s">
        <v>309</v>
      </c>
      <c r="E41" s="230" t="s">
        <v>86</v>
      </c>
      <c r="M41" s="237" t="s">
        <v>288</v>
      </c>
      <c r="O41" s="237" t="s">
        <v>288</v>
      </c>
      <c r="P41" s="28">
        <v>1.0</v>
      </c>
      <c r="Q41" s="28">
        <v>1.0</v>
      </c>
      <c r="R41" s="28">
        <v>1.0</v>
      </c>
      <c r="S41" s="238">
        <f t="shared" si="7"/>
        <v>3</v>
      </c>
      <c r="V41" s="44">
        <f t="shared" si="8"/>
        <v>3</v>
      </c>
    </row>
    <row r="42">
      <c r="B42" s="226" t="s">
        <v>81</v>
      </c>
      <c r="C42" s="241">
        <v>5.8526749E7</v>
      </c>
      <c r="D42" s="221" t="s">
        <v>310</v>
      </c>
      <c r="E42" s="221" t="s">
        <v>311</v>
      </c>
      <c r="N42" s="237" t="s">
        <v>288</v>
      </c>
      <c r="S42" s="238">
        <f t="shared" si="7"/>
        <v>0</v>
      </c>
      <c r="U42" s="28">
        <v>2.0</v>
      </c>
      <c r="V42" s="43">
        <f t="shared" ref="V42:V43" si="9">SUM(S42:U42)</f>
        <v>2</v>
      </c>
    </row>
    <row r="43">
      <c r="B43" s="226" t="s">
        <v>81</v>
      </c>
      <c r="C43" s="240">
        <v>5.852296E7</v>
      </c>
      <c r="D43" s="230" t="s">
        <v>312</v>
      </c>
      <c r="E43" s="230" t="s">
        <v>311</v>
      </c>
      <c r="M43" s="242"/>
      <c r="N43" s="232" t="s">
        <v>288</v>
      </c>
      <c r="P43" s="28"/>
      <c r="S43" s="238">
        <f t="shared" si="7"/>
        <v>0</v>
      </c>
      <c r="U43" s="28">
        <v>2.0</v>
      </c>
      <c r="V43" s="43">
        <f t="shared" si="9"/>
        <v>2</v>
      </c>
    </row>
    <row r="44">
      <c r="M44" s="243"/>
    </row>
    <row r="45">
      <c r="M45" s="244"/>
    </row>
    <row r="46">
      <c r="M46" s="245"/>
    </row>
    <row r="47">
      <c r="M47" s="246"/>
    </row>
    <row r="48">
      <c r="M48" s="245"/>
    </row>
    <row r="49">
      <c r="M49" s="246"/>
    </row>
  </sheetData>
  <autoFilter ref="$B$34:$V$43">
    <sortState ref="B34:V43">
      <sortCondition descending="1" ref="V34:V43"/>
    </sortState>
  </autoFilter>
  <drawing r:id="rId4"/>
  <legacyDrawing r:id="rId5"/>
  <tableParts count="7"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5" max="5" width="18.25"/>
    <col customWidth="1" min="8" max="8" width="18.25"/>
    <col customWidth="1" min="9" max="9" width="7.5"/>
    <col customWidth="1" min="10" max="10" width="15.5"/>
    <col customWidth="1" min="11" max="11" width="10.5"/>
    <col customWidth="1" min="12" max="12" width="7.63"/>
    <col customWidth="1" min="14" max="14" width="10.38"/>
  </cols>
  <sheetData>
    <row r="1">
      <c r="A1" s="92"/>
      <c r="B1" s="2" t="s">
        <v>0</v>
      </c>
      <c r="C1" s="3" t="s">
        <v>1</v>
      </c>
      <c r="D1" s="93"/>
      <c r="E1" s="94"/>
      <c r="F1" s="94"/>
      <c r="G1" s="94"/>
      <c r="H1" s="94"/>
      <c r="I1" s="94"/>
      <c r="J1" s="94"/>
      <c r="K1" s="1"/>
      <c r="L1" s="1"/>
      <c r="M1" s="1"/>
      <c r="N1" s="1"/>
      <c r="O1" s="1"/>
      <c r="P1" s="1"/>
    </row>
    <row r="2">
      <c r="A2" s="92"/>
      <c r="B2" s="2"/>
      <c r="C2" s="7" t="s">
        <v>2</v>
      </c>
      <c r="D2" s="93"/>
      <c r="E2" s="94"/>
      <c r="F2" s="94"/>
      <c r="G2" s="94"/>
      <c r="H2" s="94"/>
      <c r="I2" s="94"/>
      <c r="J2" s="94"/>
      <c r="K2" s="1"/>
      <c r="L2" s="1"/>
      <c r="M2" s="1"/>
      <c r="N2" s="1"/>
      <c r="O2" s="1"/>
      <c r="P2" s="1"/>
    </row>
    <row r="3">
      <c r="A3" s="92"/>
      <c r="B3" s="2"/>
      <c r="C3" s="3" t="s">
        <v>3</v>
      </c>
      <c r="D3" s="93"/>
      <c r="E3" s="94"/>
      <c r="F3" s="94"/>
      <c r="G3" s="94"/>
      <c r="H3" s="94"/>
      <c r="I3" s="94"/>
      <c r="J3" s="94"/>
      <c r="K3" s="1"/>
      <c r="L3" s="1"/>
      <c r="M3" s="1"/>
      <c r="N3" s="1"/>
      <c r="O3" s="1"/>
      <c r="P3" s="1"/>
    </row>
    <row r="4">
      <c r="A4" s="92"/>
      <c r="B4" s="2"/>
      <c r="C4" s="8" t="s">
        <v>4</v>
      </c>
      <c r="D4" s="93"/>
      <c r="E4" s="94"/>
      <c r="F4" s="94"/>
      <c r="G4" s="94"/>
      <c r="H4" s="94"/>
      <c r="I4" s="94"/>
      <c r="J4" s="94"/>
      <c r="K4" s="1"/>
      <c r="L4" s="1"/>
      <c r="M4" s="1"/>
      <c r="N4" s="1"/>
      <c r="O4" s="1"/>
      <c r="P4" s="1"/>
    </row>
    <row r="5">
      <c r="A5" s="92"/>
      <c r="B5" s="2"/>
      <c r="C5" s="12" t="s">
        <v>5</v>
      </c>
      <c r="D5" s="93"/>
      <c r="E5" s="94"/>
      <c r="F5" s="94"/>
      <c r="G5" s="94"/>
      <c r="H5" s="94"/>
      <c r="I5" s="94"/>
      <c r="J5" s="94"/>
      <c r="K5" s="1"/>
      <c r="L5" s="1"/>
      <c r="M5" s="1"/>
      <c r="N5" s="1"/>
      <c r="O5" s="1"/>
      <c r="P5" s="1"/>
    </row>
    <row r="6">
      <c r="A6" s="92"/>
      <c r="B6" s="2"/>
      <c r="C6" s="12"/>
      <c r="D6" s="93"/>
      <c r="E6" s="93"/>
      <c r="F6" s="93"/>
      <c r="G6" s="93"/>
      <c r="H6" s="93"/>
      <c r="I6" s="93"/>
      <c r="J6" s="93"/>
      <c r="K6" s="1"/>
      <c r="L6" s="1"/>
      <c r="M6" s="1"/>
      <c r="N6" s="1"/>
      <c r="O6" s="1"/>
      <c r="P6" s="1"/>
    </row>
    <row r="7">
      <c r="A7" s="92"/>
      <c r="B7" s="2"/>
      <c r="C7" s="16" t="s">
        <v>6</v>
      </c>
      <c r="D7" s="93"/>
      <c r="E7" s="94"/>
      <c r="F7" s="94"/>
      <c r="G7" s="94"/>
      <c r="H7" s="94"/>
      <c r="I7" s="94"/>
      <c r="J7" s="94"/>
      <c r="K7" s="1"/>
      <c r="L7" s="1"/>
      <c r="M7" s="1"/>
      <c r="N7" s="1"/>
      <c r="O7" s="1"/>
      <c r="P7" s="1"/>
    </row>
    <row r="8">
      <c r="A8" s="92"/>
      <c r="B8" s="19"/>
      <c r="C8" s="20" t="s">
        <v>7</v>
      </c>
      <c r="G8" s="30"/>
      <c r="H8" s="30"/>
    </row>
    <row r="9">
      <c r="A9" s="92"/>
      <c r="B9" s="19"/>
      <c r="C9" s="20" t="s">
        <v>8</v>
      </c>
      <c r="G9" s="30"/>
      <c r="H9" s="30"/>
    </row>
    <row r="10">
      <c r="A10" s="92"/>
      <c r="B10" s="19"/>
      <c r="C10" s="20" t="s">
        <v>9</v>
      </c>
      <c r="G10" s="30"/>
      <c r="H10" s="30"/>
    </row>
    <row r="11">
      <c r="A11" s="92"/>
      <c r="B11" s="19"/>
      <c r="C11" s="19" t="s">
        <v>10</v>
      </c>
      <c r="D11" s="19"/>
      <c r="E11" s="19"/>
      <c r="F11" s="19"/>
      <c r="G11" s="19"/>
      <c r="H11" s="19"/>
      <c r="I11" s="19"/>
      <c r="J11" s="19"/>
    </row>
    <row r="12">
      <c r="A12" s="92"/>
      <c r="B12" s="19"/>
      <c r="C12" s="19"/>
      <c r="D12" s="19"/>
      <c r="E12" s="19"/>
      <c r="F12" s="19"/>
      <c r="G12" s="19"/>
      <c r="H12" s="19"/>
      <c r="I12" s="19"/>
      <c r="J12" s="19"/>
    </row>
    <row r="13">
      <c r="A13" s="92"/>
      <c r="B13" s="24" t="s">
        <v>13</v>
      </c>
      <c r="D13" s="25" t="s">
        <v>14</v>
      </c>
      <c r="E13" s="102">
        <v>3.0</v>
      </c>
      <c r="F13" s="95"/>
      <c r="G13" s="95"/>
      <c r="H13" s="95"/>
      <c r="I13" s="96"/>
      <c r="J13" s="96"/>
      <c r="K13" s="96"/>
      <c r="L13" s="96"/>
      <c r="M13" s="96"/>
      <c r="N13" s="97"/>
      <c r="O13" s="96"/>
    </row>
    <row r="14">
      <c r="A14" s="247" t="s">
        <v>129</v>
      </c>
      <c r="B14" s="92" t="s">
        <v>45</v>
      </c>
      <c r="C14" s="99" t="s">
        <v>25</v>
      </c>
      <c r="D14" s="95"/>
      <c r="E14" s="102" t="s">
        <v>313</v>
      </c>
      <c r="F14" s="102" t="s">
        <v>314</v>
      </c>
      <c r="G14" s="95"/>
      <c r="H14" s="95"/>
      <c r="I14" s="96"/>
      <c r="J14" s="96"/>
      <c r="K14" s="96"/>
      <c r="L14" s="96"/>
      <c r="M14" s="96"/>
      <c r="N14" s="97"/>
      <c r="O14" s="96"/>
    </row>
    <row r="15">
      <c r="A15" s="92"/>
      <c r="B15" s="248" t="s">
        <v>231</v>
      </c>
      <c r="C15" s="249">
        <v>5.8612246E7</v>
      </c>
      <c r="D15" s="81" t="s">
        <v>232</v>
      </c>
      <c r="E15" s="95"/>
      <c r="F15" s="102" t="s">
        <v>64</v>
      </c>
      <c r="G15" s="95"/>
      <c r="H15" s="95"/>
      <c r="I15" s="96"/>
      <c r="J15" s="96"/>
      <c r="K15" s="96"/>
      <c r="L15" s="96"/>
      <c r="M15" s="96"/>
      <c r="N15" s="97"/>
      <c r="O15" s="96"/>
    </row>
    <row r="16">
      <c r="A16" s="92"/>
      <c r="C16" s="250"/>
      <c r="D16" s="102"/>
      <c r="E16" s="95"/>
      <c r="F16" s="102"/>
      <c r="G16" s="95"/>
      <c r="H16" s="95"/>
      <c r="I16" s="96"/>
      <c r="J16" s="96"/>
      <c r="K16" s="96"/>
      <c r="L16" s="96"/>
      <c r="M16" s="96"/>
      <c r="N16" s="97"/>
      <c r="O16" s="96"/>
    </row>
    <row r="17">
      <c r="A17" s="92"/>
      <c r="B17" s="92"/>
      <c r="C17" s="99"/>
      <c r="D17" s="95"/>
      <c r="E17" s="95"/>
      <c r="F17" s="95"/>
      <c r="G17" s="95"/>
      <c r="H17" s="95"/>
      <c r="I17" s="96"/>
      <c r="J17" s="96"/>
      <c r="K17" s="96"/>
      <c r="L17" s="96"/>
      <c r="M17" s="96"/>
      <c r="N17" s="97"/>
      <c r="O17" s="96"/>
    </row>
    <row r="18">
      <c r="A18" s="251"/>
      <c r="B18" s="252"/>
    </row>
    <row r="19">
      <c r="A19" s="60"/>
      <c r="B19" s="1"/>
      <c r="O19" s="43" t="s">
        <v>131</v>
      </c>
      <c r="P19" s="44">
        <f>sum(P22:P35)</f>
        <v>23</v>
      </c>
    </row>
    <row r="20">
      <c r="A20" s="92"/>
      <c r="B20" s="195"/>
      <c r="C20" s="195"/>
      <c r="D20" s="195"/>
      <c r="E20" s="195"/>
      <c r="F20" s="1"/>
      <c r="G20" s="1"/>
      <c r="H20" s="1"/>
      <c r="I20" s="1"/>
      <c r="J20" s="1"/>
    </row>
    <row r="21">
      <c r="A21" s="92" t="s">
        <v>315</v>
      </c>
      <c r="B21" s="92" t="s">
        <v>45</v>
      </c>
      <c r="C21" s="250" t="s">
        <v>44</v>
      </c>
      <c r="D21" s="99" t="s">
        <v>25</v>
      </c>
      <c r="E21" s="102" t="s">
        <v>313</v>
      </c>
      <c r="F21" s="102" t="s">
        <v>314</v>
      </c>
      <c r="G21" s="95"/>
      <c r="H21" s="95"/>
      <c r="I21" s="23"/>
      <c r="J21" s="23" t="s">
        <v>53</v>
      </c>
      <c r="K21" s="23" t="s">
        <v>316</v>
      </c>
      <c r="L21" s="23" t="s">
        <v>55</v>
      </c>
      <c r="M21" s="23" t="s">
        <v>317</v>
      </c>
      <c r="N21" s="253" t="s">
        <v>318</v>
      </c>
      <c r="O21" s="253" t="s">
        <v>319</v>
      </c>
      <c r="P21" s="253" t="s">
        <v>320</v>
      </c>
    </row>
    <row r="22">
      <c r="A22" s="254" t="s">
        <v>321</v>
      </c>
      <c r="B22" s="195" t="s">
        <v>322</v>
      </c>
      <c r="C22" s="195">
        <v>5.9299245E7</v>
      </c>
      <c r="D22" s="195" t="s">
        <v>323</v>
      </c>
      <c r="E22" s="255" t="s">
        <v>64</v>
      </c>
      <c r="F22" s="255" t="s">
        <v>64</v>
      </c>
      <c r="G22" s="256"/>
      <c r="H22" s="256"/>
      <c r="J22" s="28">
        <v>6.0</v>
      </c>
      <c r="K22" s="28">
        <v>1.0</v>
      </c>
      <c r="M22" s="257">
        <f t="shared" ref="M22:M24" si="1">SUM(J22:L22)</f>
        <v>7</v>
      </c>
      <c r="P22" s="257">
        <f t="shared" ref="P22:P24" si="2">SUM(M22:O22)</f>
        <v>7</v>
      </c>
    </row>
    <row r="23">
      <c r="A23" s="254" t="s">
        <v>324</v>
      </c>
      <c r="B23" s="195" t="s">
        <v>141</v>
      </c>
      <c r="C23" s="258">
        <v>5.8786756E7</v>
      </c>
      <c r="D23" s="195" t="s">
        <v>101</v>
      </c>
      <c r="E23" s="259"/>
      <c r="F23" s="255"/>
      <c r="G23" s="256"/>
      <c r="H23" s="256"/>
      <c r="J23" s="28">
        <v>0.0</v>
      </c>
      <c r="M23" s="257">
        <f t="shared" si="1"/>
        <v>0</v>
      </c>
      <c r="P23" s="257">
        <f t="shared" si="2"/>
        <v>0</v>
      </c>
    </row>
    <row r="24">
      <c r="A24" s="254" t="s">
        <v>324</v>
      </c>
      <c r="B24" s="195" t="s">
        <v>30</v>
      </c>
      <c r="C24" s="258">
        <v>5.865425E7</v>
      </c>
      <c r="D24" s="195" t="s">
        <v>101</v>
      </c>
      <c r="E24" s="259"/>
      <c r="F24" s="255"/>
      <c r="G24" s="256"/>
      <c r="H24" s="256"/>
      <c r="J24" s="28">
        <v>0.0</v>
      </c>
      <c r="M24" s="257">
        <f t="shared" si="1"/>
        <v>0</v>
      </c>
      <c r="P24" s="257">
        <f t="shared" si="2"/>
        <v>0</v>
      </c>
    </row>
    <row r="25">
      <c r="A25" s="254" t="s">
        <v>324</v>
      </c>
      <c r="B25" s="195" t="s">
        <v>138</v>
      </c>
      <c r="C25" s="258">
        <v>5.8665332E7</v>
      </c>
      <c r="D25" s="195" t="s">
        <v>103</v>
      </c>
      <c r="E25" s="259"/>
      <c r="F25" s="255"/>
      <c r="G25" s="256"/>
      <c r="H25" s="256"/>
      <c r="J25" s="28">
        <v>0.0</v>
      </c>
      <c r="M25" s="260">
        <v>0.0</v>
      </c>
      <c r="P25" s="260">
        <v>0.0</v>
      </c>
    </row>
    <row r="26">
      <c r="A26" s="261"/>
      <c r="B26" s="195"/>
      <c r="C26" s="45"/>
      <c r="D26" s="256"/>
      <c r="E26" s="256"/>
      <c r="F26" s="256"/>
      <c r="G26" s="256"/>
      <c r="H26" s="256"/>
    </row>
    <row r="27">
      <c r="A27" s="262" t="s">
        <v>325</v>
      </c>
      <c r="B27" s="263"/>
      <c r="C27" s="45"/>
      <c r="D27" s="256"/>
      <c r="E27" s="1"/>
      <c r="F27" s="256"/>
      <c r="G27" s="256"/>
      <c r="H27" s="256"/>
    </row>
    <row r="28">
      <c r="A28" s="1"/>
      <c r="B28" s="264" t="s">
        <v>256</v>
      </c>
      <c r="C28" s="265">
        <v>5.9296869E7</v>
      </c>
      <c r="D28" s="264" t="s">
        <v>123</v>
      </c>
      <c r="E28" s="1"/>
      <c r="F28" s="266" t="s">
        <v>64</v>
      </c>
      <c r="G28" s="1"/>
      <c r="H28" s="1"/>
      <c r="M28" s="257">
        <f t="shared" ref="M28:M35" si="3">SUM(J28:L28)</f>
        <v>0</v>
      </c>
      <c r="O28" s="28">
        <v>3.0</v>
      </c>
      <c r="P28" s="257">
        <f t="shared" ref="P28:P35" si="4">SUM(M28:O28)</f>
        <v>3</v>
      </c>
    </row>
    <row r="29">
      <c r="A29" s="262"/>
      <c r="B29" s="267" t="s">
        <v>189</v>
      </c>
      <c r="C29" s="268">
        <v>5.8522321E7</v>
      </c>
      <c r="D29" s="269" t="s">
        <v>205</v>
      </c>
      <c r="E29" s="1"/>
      <c r="F29" s="266" t="s">
        <v>64</v>
      </c>
      <c r="G29" s="256"/>
      <c r="H29" s="256"/>
      <c r="M29" s="257">
        <f t="shared" si="3"/>
        <v>0</v>
      </c>
      <c r="O29" s="28">
        <v>2.0</v>
      </c>
      <c r="P29" s="257">
        <f t="shared" si="4"/>
        <v>2</v>
      </c>
      <c r="R29" s="270"/>
      <c r="S29" s="45"/>
      <c r="T29" s="266"/>
    </row>
    <row r="30">
      <c r="A30" s="1"/>
      <c r="B30" s="271" t="s">
        <v>79</v>
      </c>
      <c r="C30" s="272">
        <v>5.9283561E7</v>
      </c>
      <c r="D30" s="185" t="s">
        <v>326</v>
      </c>
      <c r="E30" s="1"/>
      <c r="F30" s="266" t="s">
        <v>64</v>
      </c>
      <c r="G30" s="1"/>
      <c r="H30" s="1"/>
      <c r="M30" s="257">
        <f t="shared" si="3"/>
        <v>0</v>
      </c>
      <c r="O30" s="28">
        <v>2.0</v>
      </c>
      <c r="P30" s="257">
        <f t="shared" si="4"/>
        <v>2</v>
      </c>
      <c r="R30" s="45"/>
      <c r="S30" s="45"/>
      <c r="T30" s="45"/>
    </row>
    <row r="31">
      <c r="A31" s="1"/>
      <c r="B31" s="273" t="s">
        <v>309</v>
      </c>
      <c r="C31" s="274">
        <v>5.9303299E7</v>
      </c>
      <c r="D31" s="273" t="s">
        <v>86</v>
      </c>
      <c r="E31" s="1"/>
      <c r="F31" s="266" t="s">
        <v>64</v>
      </c>
      <c r="G31" s="1"/>
      <c r="H31" s="1"/>
      <c r="M31" s="257">
        <f t="shared" si="3"/>
        <v>0</v>
      </c>
      <c r="O31" s="28">
        <v>2.0</v>
      </c>
      <c r="P31" s="257">
        <f t="shared" si="4"/>
        <v>2</v>
      </c>
      <c r="R31" s="45"/>
      <c r="S31" s="45"/>
      <c r="T31" s="266"/>
    </row>
    <row r="32">
      <c r="A32" s="1"/>
      <c r="B32" s="185" t="s">
        <v>143</v>
      </c>
      <c r="C32" s="272">
        <v>5.8521742E7</v>
      </c>
      <c r="D32" s="185" t="s">
        <v>95</v>
      </c>
      <c r="E32" s="1"/>
      <c r="F32" s="266" t="s">
        <v>64</v>
      </c>
      <c r="G32" s="1"/>
      <c r="H32" s="1"/>
      <c r="M32" s="257">
        <f t="shared" si="3"/>
        <v>0</v>
      </c>
      <c r="O32" s="28">
        <v>2.0</v>
      </c>
      <c r="P32" s="257">
        <f t="shared" si="4"/>
        <v>2</v>
      </c>
      <c r="R32" s="45"/>
      <c r="S32" s="45"/>
      <c r="T32" s="45"/>
    </row>
    <row r="33">
      <c r="A33" s="1"/>
      <c r="B33" s="275" t="s">
        <v>305</v>
      </c>
      <c r="C33" s="276">
        <v>5.8534946E7</v>
      </c>
      <c r="D33" s="275" t="s">
        <v>263</v>
      </c>
      <c r="E33" s="1"/>
      <c r="F33" s="266" t="s">
        <v>64</v>
      </c>
      <c r="G33" s="1"/>
      <c r="H33" s="1"/>
      <c r="M33" s="257">
        <f t="shared" si="3"/>
        <v>0</v>
      </c>
      <c r="O33" s="28">
        <v>2.0</v>
      </c>
      <c r="P33" s="257">
        <f t="shared" si="4"/>
        <v>2</v>
      </c>
      <c r="R33" s="45"/>
      <c r="S33" s="45"/>
      <c r="T33" s="266"/>
    </row>
    <row r="34">
      <c r="A34" s="1"/>
      <c r="B34" s="277" t="s">
        <v>181</v>
      </c>
      <c r="C34" s="278">
        <v>5.9004982E7</v>
      </c>
      <c r="D34" s="277" t="s">
        <v>182</v>
      </c>
      <c r="E34" s="1"/>
      <c r="F34" s="266" t="s">
        <v>64</v>
      </c>
      <c r="G34" s="1"/>
      <c r="H34" s="1"/>
      <c r="M34" s="257">
        <f t="shared" si="3"/>
        <v>0</v>
      </c>
      <c r="O34" s="28">
        <v>2.0</v>
      </c>
      <c r="P34" s="257">
        <f t="shared" si="4"/>
        <v>2</v>
      </c>
      <c r="R34" s="45"/>
      <c r="S34" s="45"/>
      <c r="T34" s="266"/>
    </row>
    <row r="35">
      <c r="A35" s="279"/>
      <c r="B35" s="81" t="s">
        <v>219</v>
      </c>
      <c r="C35" s="164">
        <v>5.8575688E7</v>
      </c>
      <c r="D35" s="81" t="s">
        <v>93</v>
      </c>
      <c r="E35" s="1"/>
      <c r="F35" s="266" t="s">
        <v>327</v>
      </c>
      <c r="G35" s="1"/>
      <c r="H35" s="1"/>
      <c r="K35" s="172"/>
      <c r="L35" s="172"/>
      <c r="M35" s="257">
        <f t="shared" si="3"/>
        <v>0</v>
      </c>
      <c r="N35" s="172"/>
      <c r="O35" s="112">
        <v>1.0</v>
      </c>
      <c r="P35" s="257">
        <f t="shared" si="4"/>
        <v>1</v>
      </c>
      <c r="R35" s="45"/>
      <c r="S35" s="45"/>
      <c r="T35" s="266"/>
    </row>
    <row r="36">
      <c r="A36" s="261"/>
      <c r="B36" s="45"/>
      <c r="C36" s="45"/>
      <c r="D36" s="256"/>
      <c r="E36" s="1"/>
      <c r="F36" s="256"/>
      <c r="G36" s="1"/>
      <c r="H36" s="256"/>
    </row>
    <row r="37">
      <c r="A37" s="261"/>
      <c r="B37" s="45"/>
      <c r="C37" s="45"/>
      <c r="D37" s="256"/>
      <c r="E37" s="256"/>
      <c r="F37" s="256"/>
      <c r="G37" s="256"/>
      <c r="H37" s="256"/>
    </row>
    <row r="38">
      <c r="A38" s="261"/>
      <c r="E38" s="1"/>
      <c r="F38" s="256"/>
      <c r="G38" s="256"/>
      <c r="H38" s="256"/>
    </row>
    <row r="39">
      <c r="A39" s="261"/>
      <c r="E39" s="256"/>
      <c r="F39" s="256"/>
      <c r="G39" s="256"/>
      <c r="H39" s="256"/>
    </row>
    <row r="40">
      <c r="A40" s="280"/>
      <c r="E40" s="256"/>
      <c r="F40" s="1"/>
      <c r="G40" s="256"/>
      <c r="H40" s="256"/>
    </row>
    <row r="41">
      <c r="A41" s="280"/>
      <c r="E41" s="256"/>
      <c r="F41" s="256"/>
      <c r="G41" s="256"/>
      <c r="H41" s="256"/>
    </row>
    <row r="42">
      <c r="A42" s="1"/>
      <c r="E42" s="1"/>
      <c r="M42" s="28"/>
      <c r="O42" s="28"/>
    </row>
    <row r="43">
      <c r="A43" s="1"/>
      <c r="E43" s="1"/>
    </row>
    <row r="44">
      <c r="A44" s="1"/>
      <c r="E44" s="1"/>
    </row>
    <row r="45">
      <c r="A45" s="1"/>
      <c r="E45" s="1"/>
    </row>
    <row r="46">
      <c r="A46" s="1"/>
      <c r="E46" s="1"/>
    </row>
    <row r="47">
      <c r="A47" s="1"/>
      <c r="B47" s="1"/>
      <c r="C47" s="45"/>
      <c r="D47" s="256"/>
      <c r="E47" s="1"/>
    </row>
    <row r="48">
      <c r="A48" s="1"/>
      <c r="B48" s="1"/>
      <c r="C48" s="45"/>
      <c r="D48" s="256"/>
      <c r="E48" s="1"/>
    </row>
    <row r="49">
      <c r="A49" s="1"/>
      <c r="D49" s="256"/>
    </row>
    <row r="50">
      <c r="A50" s="1"/>
      <c r="D50" s="256"/>
    </row>
  </sheetData>
  <drawing r:id="rId1"/>
  <tableParts count="4"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63"/>
    <col customWidth="1" min="3" max="3" width="30.0"/>
    <col customWidth="1" min="9" max="9" width="18.25"/>
    <col customWidth="1" min="10" max="10" width="7.5"/>
    <col customWidth="1" min="11" max="11" width="15.5"/>
    <col customWidth="1" min="12" max="12" width="10.5"/>
    <col customWidth="1" min="13" max="13" width="7.63"/>
    <col customWidth="1" min="15" max="15" width="10.38"/>
  </cols>
  <sheetData>
    <row r="1">
      <c r="A1" s="92"/>
      <c r="B1" s="94"/>
      <c r="C1" s="2" t="s">
        <v>0</v>
      </c>
      <c r="D1" s="3" t="s">
        <v>1</v>
      </c>
      <c r="E1" s="93"/>
      <c r="F1" s="94"/>
      <c r="G1" s="94"/>
      <c r="H1" s="94"/>
      <c r="I1" s="94"/>
      <c r="J1" s="94"/>
      <c r="K1" s="94"/>
      <c r="L1" s="1"/>
      <c r="M1" s="1"/>
      <c r="N1" s="1"/>
      <c r="O1" s="1"/>
      <c r="P1" s="1"/>
      <c r="Q1" s="1"/>
    </row>
    <row r="2">
      <c r="A2" s="92"/>
      <c r="B2" s="94"/>
      <c r="C2" s="2"/>
      <c r="D2" s="7" t="s">
        <v>2</v>
      </c>
      <c r="E2" s="93"/>
      <c r="F2" s="94"/>
      <c r="G2" s="94"/>
      <c r="H2" s="94"/>
      <c r="I2" s="94"/>
      <c r="J2" s="94"/>
      <c r="K2" s="94"/>
      <c r="L2" s="1"/>
      <c r="M2" s="1"/>
      <c r="N2" s="1"/>
      <c r="O2" s="1"/>
      <c r="P2" s="1"/>
      <c r="Q2" s="1"/>
    </row>
    <row r="3">
      <c r="A3" s="92"/>
      <c r="B3" s="94"/>
      <c r="C3" s="2"/>
      <c r="D3" s="3" t="s">
        <v>3</v>
      </c>
      <c r="E3" s="93"/>
      <c r="F3" s="94"/>
      <c r="G3" s="94"/>
      <c r="H3" s="94"/>
      <c r="I3" s="94"/>
      <c r="J3" s="94"/>
      <c r="K3" s="94"/>
      <c r="L3" s="1"/>
      <c r="M3" s="1"/>
      <c r="N3" s="1"/>
      <c r="O3" s="1"/>
      <c r="P3" s="1"/>
      <c r="Q3" s="1"/>
    </row>
    <row r="4">
      <c r="A4" s="92"/>
      <c r="B4" s="94"/>
      <c r="C4" s="2"/>
      <c r="D4" s="8" t="s">
        <v>4</v>
      </c>
      <c r="E4" s="93"/>
      <c r="F4" s="94"/>
      <c r="G4" s="94"/>
      <c r="H4" s="94"/>
      <c r="I4" s="94"/>
      <c r="J4" s="94"/>
      <c r="K4" s="94"/>
      <c r="L4" s="1"/>
      <c r="M4" s="1"/>
      <c r="N4" s="1"/>
      <c r="O4" s="1"/>
      <c r="P4" s="1"/>
      <c r="Q4" s="1"/>
    </row>
    <row r="5">
      <c r="A5" s="92"/>
      <c r="B5" s="94"/>
      <c r="C5" s="2"/>
      <c r="D5" s="12" t="s">
        <v>5</v>
      </c>
      <c r="E5" s="93"/>
      <c r="F5" s="94"/>
      <c r="G5" s="94"/>
      <c r="H5" s="94"/>
      <c r="I5" s="94"/>
      <c r="J5" s="94"/>
      <c r="K5" s="94"/>
      <c r="L5" s="1"/>
      <c r="M5" s="1"/>
      <c r="N5" s="1"/>
      <c r="O5" s="1"/>
      <c r="P5" s="1"/>
      <c r="Q5" s="1"/>
    </row>
    <row r="6">
      <c r="A6" s="92"/>
      <c r="B6" s="94"/>
      <c r="C6" s="2"/>
      <c r="D6" s="12"/>
      <c r="E6" s="93"/>
      <c r="F6" s="93"/>
      <c r="G6" s="93"/>
      <c r="H6" s="93"/>
      <c r="I6" s="93"/>
      <c r="J6" s="93"/>
      <c r="K6" s="93"/>
      <c r="L6" s="1"/>
      <c r="M6" s="1"/>
      <c r="N6" s="1"/>
      <c r="O6" s="1"/>
      <c r="P6" s="1"/>
      <c r="Q6" s="1"/>
    </row>
    <row r="7">
      <c r="A7" s="92"/>
      <c r="B7" s="94"/>
      <c r="C7" s="2"/>
      <c r="D7" s="16" t="s">
        <v>6</v>
      </c>
      <c r="E7" s="93"/>
      <c r="F7" s="94"/>
      <c r="G7" s="94"/>
      <c r="H7" s="94"/>
      <c r="I7" s="94"/>
      <c r="J7" s="94"/>
      <c r="K7" s="94"/>
      <c r="L7" s="1"/>
      <c r="M7" s="1"/>
      <c r="N7" s="1"/>
      <c r="O7" s="1"/>
      <c r="P7" s="1"/>
      <c r="Q7" s="1"/>
    </row>
    <row r="8">
      <c r="A8" s="92"/>
      <c r="B8" s="19"/>
      <c r="C8" s="19"/>
      <c r="D8" s="20" t="s">
        <v>7</v>
      </c>
      <c r="H8" s="30"/>
      <c r="I8" s="30"/>
    </row>
    <row r="9">
      <c r="A9" s="92"/>
      <c r="B9" s="19"/>
      <c r="C9" s="19"/>
      <c r="D9" s="20" t="s">
        <v>8</v>
      </c>
      <c r="H9" s="30"/>
      <c r="I9" s="30"/>
    </row>
    <row r="10">
      <c r="A10" s="92"/>
      <c r="B10" s="19"/>
      <c r="C10" s="19"/>
      <c r="D10" s="20" t="s">
        <v>9</v>
      </c>
      <c r="H10" s="30"/>
      <c r="I10" s="30"/>
    </row>
    <row r="11">
      <c r="A11" s="92"/>
      <c r="B11" s="19"/>
      <c r="C11" s="19"/>
      <c r="D11" s="19" t="s">
        <v>10</v>
      </c>
      <c r="E11" s="19"/>
      <c r="F11" s="19"/>
      <c r="G11" s="19"/>
      <c r="H11" s="19"/>
      <c r="I11" s="19"/>
      <c r="J11" s="19"/>
      <c r="K11" s="19"/>
    </row>
    <row r="12">
      <c r="A12" s="92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>
      <c r="A13" s="92"/>
      <c r="B13" s="281" t="s">
        <v>328</v>
      </c>
      <c r="C13" s="24" t="s">
        <v>13</v>
      </c>
      <c r="E13" s="25" t="s">
        <v>14</v>
      </c>
      <c r="F13" s="95"/>
      <c r="G13" s="95"/>
      <c r="H13" s="95"/>
      <c r="I13" s="95"/>
      <c r="J13" s="96"/>
      <c r="K13" s="96"/>
      <c r="L13" s="96"/>
      <c r="M13" s="96"/>
      <c r="N13" s="96"/>
      <c r="O13" s="97"/>
      <c r="P13" s="96"/>
    </row>
    <row r="14">
      <c r="A14" s="98" t="s">
        <v>129</v>
      </c>
      <c r="B14" s="98" t="s">
        <v>44</v>
      </c>
      <c r="C14" s="92" t="s">
        <v>45</v>
      </c>
      <c r="D14" s="99" t="s">
        <v>25</v>
      </c>
      <c r="E14" s="95"/>
      <c r="F14" s="95" t="s">
        <v>329</v>
      </c>
      <c r="G14" s="95" t="s">
        <v>330</v>
      </c>
      <c r="H14" s="95" t="s">
        <v>331</v>
      </c>
      <c r="I14" s="95" t="s">
        <v>332</v>
      </c>
      <c r="J14" s="96"/>
      <c r="K14" s="96"/>
      <c r="L14" s="96"/>
      <c r="M14" s="96"/>
      <c r="N14" s="96"/>
      <c r="O14" s="97"/>
      <c r="P14" s="96"/>
    </row>
    <row r="15">
      <c r="A15" s="92"/>
      <c r="B15" s="92"/>
      <c r="C15" s="92"/>
      <c r="D15" s="99"/>
      <c r="E15" s="95"/>
      <c r="F15" s="95"/>
      <c r="G15" s="95"/>
      <c r="H15" s="95"/>
      <c r="I15" s="95"/>
      <c r="J15" s="96"/>
      <c r="K15" s="96"/>
      <c r="L15" s="96"/>
      <c r="M15" s="96"/>
      <c r="N15" s="96"/>
      <c r="O15" s="97"/>
      <c r="P15" s="96"/>
    </row>
    <row r="16">
      <c r="A16" s="92"/>
      <c r="B16" s="92"/>
      <c r="C16" s="92"/>
      <c r="D16" s="99"/>
      <c r="E16" s="95"/>
      <c r="F16" s="95"/>
      <c r="G16" s="95"/>
      <c r="H16" s="95"/>
      <c r="I16" s="95"/>
      <c r="J16" s="96"/>
      <c r="K16" s="96"/>
      <c r="L16" s="96"/>
      <c r="M16" s="96"/>
      <c r="N16" s="96"/>
      <c r="O16" s="97"/>
      <c r="P16" s="96"/>
    </row>
    <row r="17">
      <c r="A17" s="282" t="s">
        <v>125</v>
      </c>
      <c r="B17" s="98" t="s">
        <v>44</v>
      </c>
      <c r="C17" s="92" t="s">
        <v>45</v>
      </c>
      <c r="D17" s="99" t="s">
        <v>25</v>
      </c>
      <c r="E17" s="95" t="s">
        <v>333</v>
      </c>
      <c r="F17" s="95" t="s">
        <v>329</v>
      </c>
      <c r="G17" s="95" t="s">
        <v>330</v>
      </c>
      <c r="H17" s="95" t="s">
        <v>331</v>
      </c>
      <c r="I17" s="95" t="s">
        <v>332</v>
      </c>
      <c r="J17" s="253" t="s">
        <v>52</v>
      </c>
      <c r="K17" s="253" t="s">
        <v>53</v>
      </c>
      <c r="L17" s="253" t="s">
        <v>54</v>
      </c>
      <c r="M17" s="253" t="s">
        <v>55</v>
      </c>
      <c r="N17" s="253" t="s">
        <v>317</v>
      </c>
      <c r="O17" s="253" t="s">
        <v>318</v>
      </c>
      <c r="P17" s="253" t="s">
        <v>319</v>
      </c>
      <c r="Q17" s="28" t="s">
        <v>59</v>
      </c>
    </row>
    <row r="18">
      <c r="A18" s="283"/>
      <c r="B18" s="263"/>
      <c r="C18" s="263"/>
      <c r="D18" s="263"/>
      <c r="E18" s="256"/>
      <c r="F18" s="256"/>
      <c r="G18" s="36"/>
      <c r="H18" s="256"/>
      <c r="I18" s="256"/>
      <c r="J18" s="284"/>
      <c r="K18" s="284"/>
      <c r="N18" s="43"/>
      <c r="O18" s="44"/>
      <c r="P18" s="43"/>
    </row>
    <row r="19">
      <c r="A19" s="285"/>
      <c r="B19" s="195"/>
      <c r="C19" s="195"/>
      <c r="D19" s="1"/>
      <c r="E19" s="256"/>
      <c r="G19" s="256"/>
      <c r="H19" s="256"/>
      <c r="I19" s="256"/>
      <c r="J19" s="45"/>
      <c r="K19" s="45"/>
      <c r="N19" s="43"/>
      <c r="O19" s="44"/>
      <c r="P19" s="43"/>
    </row>
    <row r="20">
      <c r="A20" s="251"/>
      <c r="B20" s="252"/>
      <c r="C20" s="252"/>
    </row>
    <row r="21">
      <c r="A21" s="60"/>
      <c r="B21" s="1"/>
      <c r="C21" s="1"/>
    </row>
    <row r="22">
      <c r="A22" s="92" t="s">
        <v>315</v>
      </c>
      <c r="B22" s="195"/>
      <c r="C22" s="195"/>
      <c r="D22" s="195"/>
      <c r="E22" s="195"/>
      <c r="F22" s="195"/>
      <c r="G22" s="1"/>
      <c r="H22" s="1"/>
      <c r="I22" s="1"/>
      <c r="J22" s="1"/>
      <c r="K22" s="1"/>
    </row>
    <row r="23">
      <c r="A23" s="286" t="s">
        <v>334</v>
      </c>
      <c r="B23" s="98" t="s">
        <v>44</v>
      </c>
      <c r="C23" s="92" t="s">
        <v>45</v>
      </c>
      <c r="D23" s="99" t="s">
        <v>25</v>
      </c>
      <c r="E23" s="102" t="s">
        <v>46</v>
      </c>
      <c r="F23" s="95" t="s">
        <v>329</v>
      </c>
      <c r="G23" s="95" t="s">
        <v>330</v>
      </c>
      <c r="H23" s="95" t="s">
        <v>331</v>
      </c>
      <c r="I23" s="95" t="s">
        <v>332</v>
      </c>
      <c r="J23" s="23"/>
      <c r="K23" s="23" t="s">
        <v>53</v>
      </c>
      <c r="L23" s="23" t="s">
        <v>316</v>
      </c>
      <c r="M23" s="23" t="s">
        <v>55</v>
      </c>
      <c r="N23" s="23" t="s">
        <v>317</v>
      </c>
      <c r="O23" s="253" t="s">
        <v>318</v>
      </c>
      <c r="P23" s="253" t="s">
        <v>319</v>
      </c>
      <c r="Q23" s="28" t="s">
        <v>59</v>
      </c>
    </row>
    <row r="24">
      <c r="A24" s="287"/>
      <c r="B24" s="263"/>
      <c r="C24" s="263"/>
      <c r="D24" s="45"/>
      <c r="E24" s="256"/>
      <c r="F24" s="256"/>
      <c r="G24" s="256"/>
      <c r="H24" s="256"/>
      <c r="I24" s="256"/>
      <c r="N24" s="44"/>
      <c r="O24" s="44"/>
      <c r="P24" s="44"/>
    </row>
    <row r="25">
      <c r="A25" s="287"/>
      <c r="B25" s="45"/>
      <c r="C25" s="45"/>
      <c r="D25" s="45"/>
      <c r="E25" s="256"/>
      <c r="F25" s="256"/>
      <c r="G25" s="1"/>
      <c r="H25" s="256"/>
      <c r="I25" s="256"/>
      <c r="N25" s="44"/>
      <c r="O25" s="44"/>
      <c r="P25" s="44"/>
    </row>
    <row r="26">
      <c r="A26" s="287"/>
      <c r="B26" s="195"/>
      <c r="C26" s="195"/>
      <c r="D26" s="45"/>
      <c r="E26" s="256"/>
      <c r="F26" s="256"/>
      <c r="G26" s="256"/>
      <c r="H26" s="256"/>
      <c r="I26" s="256"/>
      <c r="N26" s="44"/>
      <c r="P26" s="44"/>
    </row>
    <row r="27">
      <c r="A27" s="287"/>
      <c r="B27" s="195"/>
      <c r="C27" s="195"/>
      <c r="D27" s="45"/>
      <c r="E27" s="256"/>
      <c r="F27" s="256"/>
      <c r="G27" s="256"/>
      <c r="H27" s="256"/>
      <c r="I27" s="256"/>
      <c r="N27" s="44"/>
      <c r="P27" s="44"/>
    </row>
    <row r="28">
      <c r="A28" s="285"/>
      <c r="B28" s="263"/>
      <c r="C28" s="263"/>
      <c r="D28" s="45"/>
      <c r="E28" s="256"/>
      <c r="F28" s="1"/>
      <c r="G28" s="256"/>
      <c r="H28" s="256"/>
      <c r="I28" s="256"/>
      <c r="N28" s="44"/>
      <c r="P28" s="44"/>
    </row>
    <row r="29">
      <c r="A29" s="285"/>
      <c r="B29" s="195"/>
      <c r="C29" s="195"/>
      <c r="D29" s="288"/>
      <c r="E29" s="256"/>
      <c r="F29" s="256"/>
      <c r="G29" s="1"/>
      <c r="H29" s="256"/>
      <c r="I29" s="256"/>
      <c r="N29" s="44"/>
      <c r="P29" s="44"/>
    </row>
    <row r="30">
      <c r="A30" s="262"/>
      <c r="B30" s="45"/>
      <c r="C30" s="45"/>
      <c r="D30" s="45"/>
      <c r="E30" s="256"/>
      <c r="F30" s="1"/>
      <c r="G30" s="256"/>
      <c r="H30" s="256"/>
      <c r="I30" s="256"/>
      <c r="N30" s="43"/>
      <c r="P30" s="43"/>
    </row>
    <row r="31">
      <c r="A31" s="262"/>
      <c r="B31" s="195"/>
      <c r="C31" s="195"/>
      <c r="D31" s="45"/>
      <c r="E31" s="256"/>
      <c r="F31" s="1"/>
      <c r="G31" s="256"/>
      <c r="H31" s="256"/>
      <c r="I31" s="256"/>
      <c r="N31" s="44"/>
      <c r="P31" s="44"/>
    </row>
    <row r="32">
      <c r="A32" s="1"/>
      <c r="B32" s="195"/>
      <c r="C32" s="195"/>
      <c r="D32" s="45"/>
      <c r="E32" s="256"/>
      <c r="F32" s="1"/>
      <c r="G32" s="1"/>
      <c r="H32" s="1"/>
      <c r="I32" s="1"/>
      <c r="N32" s="44"/>
      <c r="P32" s="44"/>
    </row>
    <row r="33">
      <c r="A33" s="1"/>
      <c r="B33" s="263"/>
      <c r="C33" s="263"/>
      <c r="D33" s="45"/>
      <c r="E33" s="256"/>
      <c r="F33" s="1"/>
      <c r="G33" s="1"/>
      <c r="H33" s="1"/>
      <c r="I33" s="1"/>
      <c r="N33" s="44"/>
      <c r="P33" s="44"/>
    </row>
    <row r="34">
      <c r="A34" s="1"/>
      <c r="B34" s="1"/>
      <c r="C34" s="1"/>
      <c r="D34" s="45"/>
      <c r="E34" s="256"/>
      <c r="F34" s="1"/>
      <c r="G34" s="1"/>
      <c r="H34" s="1"/>
      <c r="I34" s="1"/>
      <c r="N34" s="44"/>
      <c r="P34" s="44"/>
    </row>
    <row r="35">
      <c r="A35" s="1"/>
      <c r="B35" s="1"/>
      <c r="C35" s="1"/>
      <c r="D35" s="45"/>
      <c r="E35" s="256"/>
      <c r="F35" s="1"/>
      <c r="G35" s="1"/>
      <c r="H35" s="1"/>
      <c r="I35" s="1"/>
      <c r="N35" s="44"/>
      <c r="P35" s="44"/>
    </row>
    <row r="36">
      <c r="A36" s="1"/>
      <c r="B36" s="1"/>
      <c r="C36" s="1"/>
      <c r="D36" s="1"/>
      <c r="E36" s="1"/>
      <c r="F36" s="1"/>
      <c r="G36" s="1"/>
      <c r="H36" s="1"/>
      <c r="I36" s="1"/>
      <c r="N36" s="44"/>
      <c r="P36" s="44"/>
    </row>
    <row r="37">
      <c r="A37" s="1"/>
      <c r="B37" s="1"/>
      <c r="C37" s="1"/>
      <c r="D37" s="1"/>
      <c r="E37" s="1"/>
      <c r="F37" s="1"/>
      <c r="G37" s="1"/>
      <c r="H37" s="1"/>
      <c r="I37" s="1"/>
      <c r="N37" s="44"/>
      <c r="P37" s="44"/>
    </row>
    <row r="38">
      <c r="A38" s="286" t="s">
        <v>335</v>
      </c>
      <c r="B38" s="98" t="s">
        <v>44</v>
      </c>
      <c r="C38" s="1"/>
      <c r="D38" s="1"/>
      <c r="E38" s="1"/>
      <c r="F38" s="1"/>
      <c r="G38" s="1"/>
      <c r="H38" s="1"/>
      <c r="I38" s="1"/>
      <c r="N38" s="44"/>
      <c r="P38" s="44"/>
    </row>
    <row r="39">
      <c r="A39" s="287"/>
      <c r="B39" s="195"/>
      <c r="C39" s="195"/>
      <c r="D39" s="45"/>
      <c r="E39" s="256"/>
      <c r="F39" s="1"/>
      <c r="G39" s="256"/>
      <c r="H39" s="1"/>
      <c r="I39" s="256"/>
      <c r="N39" s="44"/>
      <c r="P39" s="44"/>
    </row>
    <row r="40">
      <c r="A40" s="287"/>
      <c r="B40" s="195"/>
      <c r="C40" s="195"/>
      <c r="D40" s="45"/>
      <c r="E40" s="256"/>
      <c r="F40" s="256"/>
      <c r="G40" s="256"/>
      <c r="H40" s="256"/>
      <c r="I40" s="256"/>
      <c r="N40" s="44"/>
      <c r="P40" s="44"/>
    </row>
    <row r="41">
      <c r="A41" s="287"/>
      <c r="B41" s="195"/>
      <c r="C41" s="195"/>
      <c r="D41" s="45"/>
      <c r="E41" s="256"/>
      <c r="F41" s="1"/>
      <c r="G41" s="256"/>
      <c r="H41" s="256"/>
      <c r="I41" s="256"/>
      <c r="N41" s="44"/>
      <c r="P41" s="44"/>
    </row>
    <row r="42">
      <c r="A42" s="287"/>
      <c r="B42" s="195"/>
      <c r="C42" s="195"/>
      <c r="D42" s="45"/>
      <c r="E42" s="256"/>
      <c r="F42" s="256"/>
      <c r="G42" s="256"/>
      <c r="H42" s="256"/>
      <c r="I42" s="256"/>
      <c r="N42" s="44"/>
      <c r="P42" s="44"/>
    </row>
    <row r="43">
      <c r="A43" s="285"/>
      <c r="B43" s="195"/>
      <c r="C43" s="195"/>
      <c r="D43" s="45"/>
      <c r="E43" s="256"/>
      <c r="F43" s="256"/>
      <c r="G43" s="1"/>
      <c r="H43" s="256"/>
      <c r="I43" s="256"/>
      <c r="N43" s="44"/>
      <c r="P43" s="44"/>
    </row>
    <row r="44">
      <c r="A44" s="285"/>
      <c r="B44" s="1"/>
      <c r="C44" s="1"/>
      <c r="D44" s="45"/>
      <c r="E44" s="256"/>
      <c r="F44" s="256"/>
      <c r="G44" s="256"/>
      <c r="H44" s="256"/>
      <c r="I44" s="256"/>
      <c r="N44" s="44"/>
      <c r="P44" s="44"/>
    </row>
    <row r="45">
      <c r="A45" s="1"/>
      <c r="B45" s="1"/>
      <c r="C45" s="1"/>
      <c r="D45" s="45"/>
      <c r="E45" s="256"/>
      <c r="F45" s="1"/>
      <c r="N45" s="43"/>
      <c r="P45" s="43"/>
    </row>
    <row r="46">
      <c r="A46" s="1"/>
      <c r="B46" s="1"/>
      <c r="C46" s="1"/>
      <c r="D46" s="45"/>
      <c r="E46" s="256"/>
      <c r="F46" s="1"/>
      <c r="N46" s="44"/>
      <c r="P46" s="44"/>
    </row>
    <row r="47">
      <c r="A47" s="1"/>
      <c r="B47" s="1"/>
      <c r="C47" s="1"/>
      <c r="D47" s="45"/>
      <c r="E47" s="256"/>
      <c r="F47" s="1"/>
      <c r="N47" s="44"/>
      <c r="P47" s="44"/>
    </row>
    <row r="48">
      <c r="A48" s="1"/>
      <c r="B48" s="1"/>
      <c r="C48" s="1"/>
      <c r="D48" s="45"/>
      <c r="E48" s="256"/>
      <c r="F48" s="1"/>
      <c r="N48" s="44"/>
      <c r="P48" s="44"/>
    </row>
    <row r="49">
      <c r="A49" s="1"/>
      <c r="B49" s="1"/>
      <c r="C49" s="1"/>
      <c r="D49" s="45"/>
      <c r="E49" s="256"/>
      <c r="F49" s="1"/>
      <c r="N49" s="44"/>
      <c r="P49" s="44"/>
    </row>
    <row r="50">
      <c r="A50" s="1"/>
      <c r="B50" s="1"/>
      <c r="C50" s="1"/>
      <c r="D50" s="45"/>
      <c r="E50" s="256"/>
      <c r="F50" s="1"/>
      <c r="N50" s="44"/>
      <c r="P50" s="44"/>
    </row>
    <row r="51">
      <c r="A51" s="1"/>
      <c r="B51" s="1"/>
      <c r="C51" s="1"/>
      <c r="D51" s="45"/>
      <c r="E51" s="256"/>
      <c r="F51" s="1"/>
      <c r="N51" s="44"/>
      <c r="P51" s="44"/>
    </row>
    <row r="52">
      <c r="A52" s="1"/>
      <c r="E52" s="256"/>
      <c r="N52" s="44"/>
      <c r="P52" s="44"/>
    </row>
    <row r="53">
      <c r="A53" s="1"/>
      <c r="E53" s="256"/>
      <c r="N53" s="44"/>
      <c r="P53" s="4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2.38"/>
    <col customWidth="1" min="3" max="3" width="23.63"/>
    <col customWidth="1" min="4" max="4" width="12.0"/>
    <col customWidth="1" min="5" max="5" width="15.13"/>
    <col customWidth="1" min="6" max="6" width="15.63"/>
    <col customWidth="1" min="7" max="7" width="15.5"/>
    <col customWidth="1" min="8" max="8" width="15.63"/>
    <col customWidth="1" min="9" max="9" width="10.0"/>
    <col customWidth="1" min="10" max="10" width="7.25"/>
    <col customWidth="1" min="11" max="11" width="15.25"/>
    <col customWidth="1" min="12" max="12" width="4.88"/>
    <col customWidth="1" min="13" max="13" width="7.5"/>
    <col customWidth="1" min="14" max="14" width="5.38"/>
  </cols>
  <sheetData>
    <row r="1">
      <c r="A1" s="1"/>
      <c r="B1" s="2" t="s">
        <v>0</v>
      </c>
      <c r="C1" s="3" t="s">
        <v>1</v>
      </c>
      <c r="D1" s="93"/>
      <c r="E1" s="94"/>
      <c r="F1" s="94"/>
      <c r="G1" s="94"/>
      <c r="H1" s="94"/>
      <c r="I1" s="9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2"/>
      <c r="C2" s="7" t="s">
        <v>2</v>
      </c>
      <c r="D2" s="93"/>
      <c r="E2" s="94"/>
      <c r="F2" s="94"/>
      <c r="G2" s="94"/>
      <c r="H2" s="94"/>
      <c r="I2" s="9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2"/>
      <c r="C3" s="3" t="s">
        <v>3</v>
      </c>
      <c r="D3" s="93"/>
      <c r="E3" s="94"/>
      <c r="F3" s="94"/>
      <c r="G3" s="94"/>
      <c r="H3" s="94"/>
      <c r="I3" s="9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2"/>
      <c r="C4" s="8" t="s">
        <v>4</v>
      </c>
      <c r="D4" s="93"/>
      <c r="E4" s="94"/>
      <c r="F4" s="94"/>
      <c r="G4" s="94"/>
      <c r="H4" s="94"/>
      <c r="I4" s="9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2"/>
      <c r="C5" s="12" t="s">
        <v>5</v>
      </c>
      <c r="D5" s="93"/>
      <c r="E5" s="94"/>
      <c r="F5" s="94"/>
      <c r="G5" s="94"/>
      <c r="H5" s="94"/>
      <c r="I5" s="9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2"/>
      <c r="C6" s="12"/>
      <c r="D6" s="93"/>
      <c r="E6" s="93"/>
      <c r="F6" s="93"/>
      <c r="G6" s="93"/>
      <c r="H6" s="93"/>
      <c r="I6" s="9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2"/>
      <c r="C7" s="16" t="s">
        <v>6</v>
      </c>
      <c r="D7" s="93"/>
      <c r="E7" s="94"/>
      <c r="F7" s="94"/>
      <c r="G7" s="94"/>
      <c r="H7" s="94"/>
      <c r="I7" s="9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B8" s="19"/>
      <c r="C8" s="20" t="s">
        <v>7</v>
      </c>
      <c r="G8" s="30"/>
      <c r="H8" s="30"/>
    </row>
    <row r="9">
      <c r="B9" s="19"/>
      <c r="C9" s="20" t="s">
        <v>8</v>
      </c>
      <c r="G9" s="30"/>
      <c r="H9" s="30"/>
    </row>
    <row r="10">
      <c r="B10" s="19"/>
      <c r="C10" s="20" t="s">
        <v>9</v>
      </c>
      <c r="G10" s="30"/>
      <c r="H10" s="30"/>
    </row>
    <row r="11">
      <c r="B11" s="19"/>
      <c r="C11" s="19" t="s">
        <v>10</v>
      </c>
      <c r="D11" s="19"/>
      <c r="E11" s="19"/>
      <c r="F11" s="19"/>
      <c r="G11" s="19"/>
      <c r="H11" s="19"/>
      <c r="I11" s="19"/>
    </row>
    <row r="12">
      <c r="B12" s="19"/>
      <c r="C12" s="19"/>
      <c r="D12" s="19"/>
      <c r="E12" s="19"/>
      <c r="F12" s="19"/>
      <c r="G12" s="19"/>
      <c r="H12" s="19"/>
      <c r="I12" s="19"/>
      <c r="K12" s="43" t="s">
        <v>336</v>
      </c>
      <c r="L12" s="44"/>
      <c r="M12" s="44"/>
      <c r="N12" s="44">
        <f>sum(N15:N46)</f>
        <v>167</v>
      </c>
    </row>
    <row r="13">
      <c r="B13" s="19"/>
      <c r="C13" s="19"/>
      <c r="D13" s="19"/>
      <c r="E13" s="19"/>
      <c r="F13" s="19"/>
      <c r="G13" s="19"/>
      <c r="H13" s="19"/>
      <c r="I13" s="19"/>
    </row>
    <row r="14">
      <c r="B14" s="71" t="s">
        <v>315</v>
      </c>
      <c r="C14" s="71" t="s">
        <v>45</v>
      </c>
      <c r="D14" s="289" t="s">
        <v>25</v>
      </c>
      <c r="E14" s="102" t="s">
        <v>337</v>
      </c>
      <c r="F14" s="102" t="s">
        <v>338</v>
      </c>
      <c r="G14" s="102" t="s">
        <v>339</v>
      </c>
      <c r="H14" s="102" t="s">
        <v>340</v>
      </c>
      <c r="I14" s="102" t="s">
        <v>341</v>
      </c>
      <c r="J14" s="290" t="s">
        <v>52</v>
      </c>
      <c r="K14" s="23" t="s">
        <v>53</v>
      </c>
      <c r="L14" s="23" t="s">
        <v>316</v>
      </c>
      <c r="M14" s="23" t="s">
        <v>55</v>
      </c>
      <c r="N14" s="23" t="s">
        <v>162</v>
      </c>
    </row>
    <row r="15">
      <c r="B15" s="291" t="s">
        <v>125</v>
      </c>
      <c r="C15" s="292"/>
      <c r="D15" s="292"/>
      <c r="E15" s="36" t="s">
        <v>342</v>
      </c>
      <c r="F15" s="36" t="s">
        <v>342</v>
      </c>
      <c r="G15" s="293"/>
      <c r="H15" s="36" t="s">
        <v>342</v>
      </c>
      <c r="I15" s="36" t="s">
        <v>342</v>
      </c>
      <c r="J15" s="1"/>
      <c r="K15" s="28">
        <v>6.0</v>
      </c>
      <c r="L15" s="28">
        <v>1.0</v>
      </c>
      <c r="M15" s="28">
        <v>2.0</v>
      </c>
      <c r="N15" s="44">
        <f>SUM(J15:M15)</f>
        <v>9</v>
      </c>
    </row>
    <row r="16">
      <c r="B16" s="291"/>
      <c r="C16" s="294"/>
      <c r="D16" s="295"/>
      <c r="E16" s="293"/>
      <c r="F16" s="293"/>
      <c r="G16" s="1"/>
      <c r="H16" s="1"/>
      <c r="I16" s="1"/>
      <c r="J16" s="1"/>
      <c r="K16" s="28"/>
      <c r="L16" s="28"/>
      <c r="M16" s="28"/>
    </row>
    <row r="17">
      <c r="B17" s="296" t="s">
        <v>334</v>
      </c>
      <c r="C17" s="297"/>
      <c r="D17" s="295"/>
      <c r="E17" s="1"/>
      <c r="F17" s="1"/>
      <c r="G17" s="1"/>
      <c r="H17" s="1"/>
      <c r="I17" s="1"/>
      <c r="J17" s="1"/>
    </row>
    <row r="18">
      <c r="A18" s="28">
        <v>1.0</v>
      </c>
      <c r="B18" s="298" t="s">
        <v>343</v>
      </c>
      <c r="C18" s="292"/>
      <c r="D18" s="292"/>
      <c r="E18" s="36" t="s">
        <v>342</v>
      </c>
      <c r="F18" s="36" t="s">
        <v>342</v>
      </c>
      <c r="G18" s="293"/>
      <c r="H18" s="36" t="s">
        <v>342</v>
      </c>
      <c r="I18" s="36" t="s">
        <v>342</v>
      </c>
      <c r="J18" s="1"/>
      <c r="K18" s="28">
        <v>6.0</v>
      </c>
      <c r="L18" s="28">
        <v>3.0</v>
      </c>
      <c r="M18" s="28">
        <v>2.0</v>
      </c>
      <c r="N18" s="44">
        <f t="shared" ref="N18:N30" si="1">SUM(J18:M18)</f>
        <v>11</v>
      </c>
    </row>
    <row r="19">
      <c r="A19" s="28">
        <v>2.0</v>
      </c>
      <c r="B19" s="298" t="s">
        <v>243</v>
      </c>
      <c r="C19" s="292"/>
      <c r="D19" s="299"/>
      <c r="E19" s="1"/>
      <c r="F19" s="36" t="s">
        <v>342</v>
      </c>
      <c r="G19" s="1"/>
      <c r="H19" s="36" t="s">
        <v>342</v>
      </c>
      <c r="I19" s="36" t="s">
        <v>342</v>
      </c>
      <c r="J19" s="1"/>
      <c r="K19" s="28">
        <v>6.0</v>
      </c>
      <c r="L19" s="28">
        <v>1.0</v>
      </c>
      <c r="M19" s="28">
        <v>1.0</v>
      </c>
      <c r="N19" s="44">
        <f t="shared" si="1"/>
        <v>8</v>
      </c>
    </row>
    <row r="20">
      <c r="A20" s="28">
        <v>3.0</v>
      </c>
      <c r="B20" s="298" t="s">
        <v>243</v>
      </c>
      <c r="C20" s="292"/>
      <c r="D20" s="299"/>
      <c r="E20" s="293"/>
      <c r="F20" s="293"/>
      <c r="G20" s="36" t="s">
        <v>342</v>
      </c>
      <c r="H20" s="293"/>
      <c r="I20" s="36" t="s">
        <v>342</v>
      </c>
      <c r="J20" s="1"/>
      <c r="K20" s="28">
        <v>6.0</v>
      </c>
      <c r="L20" s="28"/>
      <c r="M20" s="28">
        <v>0.0</v>
      </c>
      <c r="N20" s="44">
        <f t="shared" si="1"/>
        <v>6</v>
      </c>
    </row>
    <row r="21">
      <c r="A21" s="28">
        <v>4.0</v>
      </c>
      <c r="B21" s="298" t="s">
        <v>243</v>
      </c>
      <c r="C21" s="294"/>
      <c r="D21" s="299"/>
      <c r="E21" s="1"/>
      <c r="F21" s="36" t="s">
        <v>342</v>
      </c>
      <c r="G21" s="293"/>
      <c r="H21" s="36" t="s">
        <v>342</v>
      </c>
      <c r="I21" s="36" t="s">
        <v>342</v>
      </c>
      <c r="J21" s="1"/>
      <c r="K21" s="28">
        <v>6.0</v>
      </c>
      <c r="L21" s="28"/>
      <c r="M21" s="28">
        <v>1.0</v>
      </c>
      <c r="N21" s="44">
        <f t="shared" si="1"/>
        <v>7</v>
      </c>
    </row>
    <row r="22">
      <c r="A22" s="28">
        <v>5.0</v>
      </c>
      <c r="B22" s="298" t="s">
        <v>243</v>
      </c>
      <c r="C22" s="294"/>
      <c r="D22" s="299"/>
      <c r="E22" s="1"/>
      <c r="F22" s="1"/>
      <c r="G22" s="1"/>
      <c r="H22" s="36" t="s">
        <v>342</v>
      </c>
      <c r="I22" s="36" t="s">
        <v>342</v>
      </c>
      <c r="J22" s="1"/>
      <c r="K22" s="28">
        <v>6.0</v>
      </c>
      <c r="L22" s="28"/>
      <c r="M22" s="28">
        <v>0.0</v>
      </c>
      <c r="N22" s="44">
        <f t="shared" si="1"/>
        <v>6</v>
      </c>
    </row>
    <row r="23">
      <c r="A23" s="28">
        <v>6.0</v>
      </c>
      <c r="B23" s="298" t="s">
        <v>243</v>
      </c>
      <c r="C23" s="294"/>
      <c r="D23" s="299"/>
      <c r="E23" s="293"/>
      <c r="F23" s="293"/>
      <c r="G23" s="36" t="s">
        <v>342</v>
      </c>
      <c r="H23" s="1"/>
      <c r="I23" s="36" t="s">
        <v>342</v>
      </c>
      <c r="J23" s="45">
        <v>-1.0</v>
      </c>
      <c r="K23" s="28">
        <v>6.0</v>
      </c>
      <c r="L23" s="28"/>
      <c r="M23" s="28">
        <v>0.0</v>
      </c>
      <c r="N23" s="44">
        <f t="shared" si="1"/>
        <v>5</v>
      </c>
    </row>
    <row r="24">
      <c r="A24" s="28">
        <v>7.0</v>
      </c>
      <c r="B24" s="298" t="s">
        <v>243</v>
      </c>
      <c r="C24" s="294"/>
      <c r="D24" s="299"/>
      <c r="E24" s="1"/>
      <c r="F24" s="36" t="s">
        <v>342</v>
      </c>
      <c r="G24" s="1"/>
      <c r="H24" s="36" t="s">
        <v>342</v>
      </c>
      <c r="I24" s="36" t="s">
        <v>342</v>
      </c>
      <c r="J24" s="1"/>
      <c r="K24" s="28">
        <v>6.0</v>
      </c>
      <c r="L24" s="28"/>
      <c r="M24" s="28">
        <v>1.0</v>
      </c>
      <c r="N24" s="44">
        <f t="shared" si="1"/>
        <v>7</v>
      </c>
    </row>
    <row r="25">
      <c r="A25" s="28">
        <v>8.0</v>
      </c>
      <c r="B25" s="298" t="s">
        <v>243</v>
      </c>
      <c r="C25" s="294"/>
      <c r="D25" s="299"/>
      <c r="E25" s="36" t="s">
        <v>342</v>
      </c>
      <c r="F25" s="1"/>
      <c r="G25" s="36" t="s">
        <v>342</v>
      </c>
      <c r="H25" s="36" t="s">
        <v>342</v>
      </c>
      <c r="I25" s="36" t="s">
        <v>342</v>
      </c>
      <c r="J25" s="1"/>
      <c r="K25" s="28">
        <v>6.0</v>
      </c>
      <c r="L25" s="28"/>
      <c r="M25" s="28">
        <v>2.0</v>
      </c>
      <c r="N25" s="44">
        <f t="shared" si="1"/>
        <v>8</v>
      </c>
    </row>
    <row r="26">
      <c r="A26" s="28">
        <v>9.0</v>
      </c>
      <c r="B26" s="298" t="s">
        <v>243</v>
      </c>
      <c r="C26" s="294"/>
      <c r="D26" s="299"/>
      <c r="E26" s="293"/>
      <c r="F26" s="36" t="s">
        <v>342</v>
      </c>
      <c r="G26" s="1"/>
      <c r="H26" s="36" t="s">
        <v>342</v>
      </c>
      <c r="I26" s="36" t="s">
        <v>342</v>
      </c>
      <c r="J26" s="1"/>
      <c r="K26" s="28">
        <v>6.0</v>
      </c>
      <c r="L26" s="28"/>
      <c r="M26" s="28">
        <v>1.0</v>
      </c>
      <c r="N26" s="44">
        <f t="shared" si="1"/>
        <v>7</v>
      </c>
    </row>
    <row r="27">
      <c r="A27" s="28">
        <v>10.0</v>
      </c>
      <c r="B27" s="298" t="s">
        <v>243</v>
      </c>
      <c r="C27" s="292"/>
      <c r="D27" s="299"/>
      <c r="E27" s="1"/>
      <c r="F27" s="1"/>
      <c r="G27" s="293"/>
      <c r="H27" s="36" t="s">
        <v>342</v>
      </c>
      <c r="I27" s="36" t="s">
        <v>342</v>
      </c>
      <c r="J27" s="1"/>
      <c r="K27" s="28">
        <v>6.0</v>
      </c>
      <c r="L27" s="28"/>
      <c r="M27" s="28">
        <v>0.0</v>
      </c>
      <c r="N27" s="44">
        <f t="shared" si="1"/>
        <v>6</v>
      </c>
    </row>
    <row r="28">
      <c r="B28" s="300" t="s">
        <v>308</v>
      </c>
      <c r="C28" s="301"/>
      <c r="D28" s="302"/>
      <c r="F28" s="36" t="s">
        <v>342</v>
      </c>
      <c r="G28" s="36" t="s">
        <v>342</v>
      </c>
      <c r="I28" s="36" t="s">
        <v>342</v>
      </c>
      <c r="J28" s="32"/>
      <c r="K28" s="28">
        <v>2.0</v>
      </c>
      <c r="M28" s="28">
        <v>1.0</v>
      </c>
      <c r="N28" s="44">
        <f t="shared" si="1"/>
        <v>3</v>
      </c>
    </row>
    <row r="29">
      <c r="B29" s="300" t="s">
        <v>308</v>
      </c>
      <c r="C29" s="301"/>
      <c r="D29" s="301"/>
      <c r="F29" s="36" t="s">
        <v>342</v>
      </c>
      <c r="H29" s="36" t="s">
        <v>342</v>
      </c>
      <c r="I29" s="36" t="s">
        <v>342</v>
      </c>
      <c r="J29" s="32"/>
      <c r="K29" s="28">
        <v>2.0</v>
      </c>
      <c r="M29" s="28">
        <v>1.0</v>
      </c>
      <c r="N29" s="44">
        <f t="shared" si="1"/>
        <v>3</v>
      </c>
    </row>
    <row r="30">
      <c r="B30" s="300" t="s">
        <v>344</v>
      </c>
      <c r="C30" s="301"/>
      <c r="D30" s="299"/>
      <c r="F30" s="36" t="s">
        <v>342</v>
      </c>
      <c r="I30" s="36" t="s">
        <v>342</v>
      </c>
      <c r="J30" s="32"/>
      <c r="K30" s="28">
        <v>2.0</v>
      </c>
      <c r="M30" s="28">
        <v>0.0</v>
      </c>
      <c r="N30" s="44">
        <f t="shared" si="1"/>
        <v>2</v>
      </c>
    </row>
    <row r="31">
      <c r="B31" s="291"/>
      <c r="C31" s="297"/>
      <c r="D31" s="295"/>
      <c r="J31" s="32"/>
      <c r="K31" s="28"/>
      <c r="N31" s="44"/>
    </row>
    <row r="32">
      <c r="B32" s="291"/>
      <c r="C32" s="297"/>
      <c r="D32" s="295"/>
      <c r="J32" s="32"/>
      <c r="K32" s="28"/>
      <c r="N32" s="44"/>
    </row>
    <row r="33">
      <c r="B33" s="291"/>
      <c r="C33" s="297"/>
      <c r="D33" s="295"/>
      <c r="J33" s="32"/>
      <c r="N33" s="44"/>
    </row>
    <row r="34">
      <c r="B34" s="296" t="s">
        <v>335</v>
      </c>
      <c r="C34" s="297"/>
      <c r="D34" s="295"/>
      <c r="J34" s="32"/>
      <c r="N34" s="44"/>
    </row>
    <row r="35">
      <c r="A35" s="28">
        <v>1.0</v>
      </c>
      <c r="B35" s="298" t="s">
        <v>343</v>
      </c>
      <c r="C35" s="292"/>
      <c r="D35" s="299"/>
      <c r="F35" s="36" t="s">
        <v>342</v>
      </c>
      <c r="H35" s="36" t="s">
        <v>342</v>
      </c>
      <c r="I35" s="36" t="s">
        <v>342</v>
      </c>
      <c r="J35" s="303"/>
      <c r="K35" s="28">
        <v>6.0</v>
      </c>
      <c r="L35" s="28">
        <v>1.0</v>
      </c>
      <c r="M35" s="28">
        <v>1.0</v>
      </c>
      <c r="N35" s="44">
        <f t="shared" ref="N35:N46" si="2">SUM(J35:M35)</f>
        <v>8</v>
      </c>
    </row>
    <row r="36">
      <c r="A36" s="28">
        <v>2.0</v>
      </c>
      <c r="B36" s="298" t="s">
        <v>243</v>
      </c>
      <c r="C36" s="294"/>
      <c r="D36" s="294"/>
      <c r="E36" s="36" t="s">
        <v>342</v>
      </c>
      <c r="F36" s="36" t="s">
        <v>342</v>
      </c>
      <c r="G36" s="36" t="s">
        <v>342</v>
      </c>
      <c r="H36" s="36" t="s">
        <v>342</v>
      </c>
      <c r="I36" s="36" t="s">
        <v>342</v>
      </c>
      <c r="J36" s="304"/>
      <c r="K36" s="28">
        <v>6.0</v>
      </c>
      <c r="L36" s="28">
        <v>1.0</v>
      </c>
      <c r="M36" s="28">
        <v>3.0</v>
      </c>
      <c r="N36" s="44">
        <f t="shared" si="2"/>
        <v>10</v>
      </c>
    </row>
    <row r="37">
      <c r="A37" s="28">
        <v>3.0</v>
      </c>
      <c r="B37" s="298" t="s">
        <v>243</v>
      </c>
      <c r="C37" s="294"/>
      <c r="D37" s="299"/>
      <c r="F37" s="36" t="s">
        <v>342</v>
      </c>
      <c r="I37" s="36" t="s">
        <v>342</v>
      </c>
      <c r="J37" s="303"/>
      <c r="K37" s="28">
        <v>6.0</v>
      </c>
      <c r="L37" s="28">
        <v>1.0</v>
      </c>
      <c r="M37" s="28">
        <v>0.0</v>
      </c>
      <c r="N37" s="44">
        <f t="shared" si="2"/>
        <v>7</v>
      </c>
    </row>
    <row r="38">
      <c r="A38" s="28">
        <v>4.0</v>
      </c>
      <c r="B38" s="298" t="s">
        <v>243</v>
      </c>
      <c r="C38" s="294"/>
      <c r="D38" s="299"/>
      <c r="F38" s="36" t="s">
        <v>342</v>
      </c>
      <c r="G38" s="36" t="s">
        <v>342</v>
      </c>
      <c r="H38" s="36" t="s">
        <v>342</v>
      </c>
      <c r="I38" s="36" t="s">
        <v>342</v>
      </c>
      <c r="J38" s="304"/>
      <c r="K38" s="28">
        <v>6.0</v>
      </c>
      <c r="L38" s="28">
        <v>1.0</v>
      </c>
      <c r="M38" s="28">
        <v>2.0</v>
      </c>
      <c r="N38" s="44">
        <f t="shared" si="2"/>
        <v>9</v>
      </c>
    </row>
    <row r="39">
      <c r="A39" s="28">
        <v>5.0</v>
      </c>
      <c r="B39" s="298" t="s">
        <v>243</v>
      </c>
      <c r="C39" s="294"/>
      <c r="D39" s="299"/>
      <c r="G39" s="36" t="s">
        <v>342</v>
      </c>
      <c r="I39" s="36" t="s">
        <v>342</v>
      </c>
      <c r="J39" s="45">
        <v>-1.0</v>
      </c>
      <c r="K39" s="28">
        <v>6.0</v>
      </c>
      <c r="L39" s="28">
        <v>1.0</v>
      </c>
      <c r="M39" s="28">
        <v>0.0</v>
      </c>
      <c r="N39" s="44">
        <f t="shared" si="2"/>
        <v>6</v>
      </c>
    </row>
    <row r="40">
      <c r="A40" s="28">
        <v>6.0</v>
      </c>
      <c r="B40" s="298" t="s">
        <v>243</v>
      </c>
      <c r="C40" s="297"/>
      <c r="D40" s="294"/>
      <c r="E40" s="36" t="s">
        <v>342</v>
      </c>
      <c r="H40" s="36" t="s">
        <v>342</v>
      </c>
      <c r="I40" s="36" t="s">
        <v>342</v>
      </c>
      <c r="J40" s="303"/>
      <c r="K40" s="28">
        <v>6.0</v>
      </c>
      <c r="L40" s="28">
        <v>1.0</v>
      </c>
      <c r="M40" s="28">
        <v>1.0</v>
      </c>
      <c r="N40" s="44">
        <f t="shared" si="2"/>
        <v>8</v>
      </c>
    </row>
    <row r="41">
      <c r="A41" s="28">
        <v>7.0</v>
      </c>
      <c r="B41" s="298" t="s">
        <v>243</v>
      </c>
      <c r="C41" s="297"/>
      <c r="D41" s="299"/>
      <c r="G41" s="36" t="s">
        <v>342</v>
      </c>
      <c r="I41" s="36" t="s">
        <v>342</v>
      </c>
      <c r="J41" s="304"/>
      <c r="K41" s="28">
        <v>6.0</v>
      </c>
      <c r="L41" s="28">
        <v>1.0</v>
      </c>
      <c r="M41" s="28">
        <v>0.0</v>
      </c>
      <c r="N41" s="44">
        <f t="shared" si="2"/>
        <v>7</v>
      </c>
    </row>
    <row r="42">
      <c r="A42" s="28">
        <v>8.0</v>
      </c>
      <c r="B42" s="298" t="s">
        <v>243</v>
      </c>
      <c r="C42" s="297"/>
      <c r="D42" s="299"/>
      <c r="I42" s="36" t="s">
        <v>342</v>
      </c>
      <c r="J42" s="303"/>
      <c r="K42" s="28">
        <v>6.0</v>
      </c>
      <c r="L42" s="28">
        <v>1.0</v>
      </c>
      <c r="M42" s="28">
        <v>0.0</v>
      </c>
      <c r="N42" s="44">
        <f t="shared" si="2"/>
        <v>7</v>
      </c>
    </row>
    <row r="43">
      <c r="A43" s="28">
        <v>9.0</v>
      </c>
      <c r="B43" s="298" t="s">
        <v>243</v>
      </c>
      <c r="C43" s="297"/>
      <c r="D43" s="299"/>
      <c r="I43" s="36" t="s">
        <v>342</v>
      </c>
      <c r="J43" s="32"/>
      <c r="K43" s="28">
        <v>6.0</v>
      </c>
      <c r="L43" s="28">
        <v>1.0</v>
      </c>
      <c r="M43" s="28">
        <v>0.0</v>
      </c>
      <c r="N43" s="44">
        <f t="shared" si="2"/>
        <v>7</v>
      </c>
    </row>
    <row r="44">
      <c r="A44" s="28">
        <v>10.0</v>
      </c>
      <c r="B44" s="298" t="s">
        <v>243</v>
      </c>
      <c r="C44" s="294"/>
      <c r="D44" s="299"/>
      <c r="I44" s="36" t="s">
        <v>342</v>
      </c>
      <c r="J44" s="304"/>
      <c r="K44" s="28">
        <v>6.0</v>
      </c>
      <c r="L44" s="28">
        <v>1.0</v>
      </c>
      <c r="M44" s="28">
        <v>0.0</v>
      </c>
      <c r="N44" s="44">
        <f t="shared" si="2"/>
        <v>7</v>
      </c>
    </row>
    <row r="45">
      <c r="B45" s="300" t="s">
        <v>308</v>
      </c>
      <c r="C45" s="301"/>
      <c r="D45" s="299"/>
      <c r="I45" s="36" t="s">
        <v>342</v>
      </c>
      <c r="J45" s="303"/>
      <c r="K45" s="28">
        <v>2.0</v>
      </c>
      <c r="M45" s="28">
        <v>0.0</v>
      </c>
      <c r="N45" s="44">
        <f t="shared" si="2"/>
        <v>2</v>
      </c>
    </row>
    <row r="46">
      <c r="B46" s="300" t="s">
        <v>308</v>
      </c>
      <c r="C46" s="297"/>
      <c r="D46" s="299"/>
      <c r="E46" s="36" t="s">
        <v>342</v>
      </c>
      <c r="G46" s="36"/>
      <c r="I46" s="36" t="s">
        <v>342</v>
      </c>
      <c r="J46" s="45">
        <v>-1.0</v>
      </c>
      <c r="K46" s="28">
        <v>2.0</v>
      </c>
      <c r="M46" s="28">
        <v>0.0</v>
      </c>
      <c r="N46" s="44">
        <f t="shared" si="2"/>
        <v>1</v>
      </c>
    </row>
    <row r="47">
      <c r="B47" s="251"/>
      <c r="C47" s="252"/>
      <c r="J47" s="303"/>
      <c r="K47" s="28"/>
      <c r="N47" s="28"/>
    </row>
    <row r="48">
      <c r="B48" s="60"/>
      <c r="C48" s="1"/>
      <c r="J48" s="32"/>
    </row>
    <row r="49">
      <c r="B49" s="60"/>
      <c r="C49" s="305"/>
      <c r="D49" s="305"/>
      <c r="E49" s="306"/>
      <c r="F49" s="306"/>
      <c r="J49" s="32"/>
      <c r="K49" s="28"/>
      <c r="N49" s="28"/>
    </row>
    <row r="50">
      <c r="B50" s="60"/>
      <c r="C50" s="305"/>
      <c r="D50" s="305"/>
      <c r="E50" s="306"/>
      <c r="F50" s="306"/>
      <c r="J50" s="32"/>
      <c r="K50" s="28"/>
      <c r="N50" s="28"/>
    </row>
    <row r="51">
      <c r="B51" s="60"/>
      <c r="C51" s="305"/>
      <c r="D51" s="305"/>
      <c r="E51" s="307"/>
      <c r="F51" s="307"/>
      <c r="J51" s="32"/>
      <c r="K51" s="28"/>
      <c r="N51" s="28"/>
    </row>
    <row r="52">
      <c r="B52" s="60"/>
      <c r="C52" s="305"/>
      <c r="D52" s="305"/>
      <c r="E52" s="307"/>
      <c r="F52" s="307"/>
      <c r="J52" s="32"/>
      <c r="K52" s="28"/>
      <c r="N52" s="28"/>
    </row>
    <row r="53">
      <c r="B53" s="60"/>
      <c r="C53" s="305"/>
      <c r="D53" s="305"/>
      <c r="E53" s="307"/>
      <c r="F53" s="307"/>
      <c r="J53" s="32"/>
      <c r="K53" s="28"/>
      <c r="N53" s="28"/>
    </row>
    <row r="54">
      <c r="B54" s="60"/>
      <c r="C54" s="305"/>
      <c r="D54" s="305"/>
      <c r="E54" s="306"/>
      <c r="F54" s="306"/>
      <c r="J54" s="32"/>
      <c r="K54" s="28"/>
      <c r="N54" s="28"/>
    </row>
    <row r="55">
      <c r="B55" s="60"/>
      <c r="C55" s="305"/>
      <c r="D55" s="305"/>
      <c r="E55" s="306"/>
      <c r="F55" s="306"/>
      <c r="J55" s="32"/>
      <c r="K55" s="28"/>
      <c r="N55" s="28"/>
    </row>
    <row r="56">
      <c r="B56" s="60"/>
      <c r="C56" s="305"/>
      <c r="D56" s="308"/>
      <c r="E56" s="306"/>
      <c r="F56" s="306"/>
      <c r="J56" s="32"/>
      <c r="K56" s="28"/>
      <c r="N56" s="28"/>
    </row>
    <row r="57">
      <c r="B57" s="60"/>
      <c r="C57" s="308"/>
      <c r="D57" s="308"/>
      <c r="E57" s="306"/>
      <c r="F57" s="306"/>
      <c r="J57" s="32"/>
      <c r="K57" s="28"/>
      <c r="N57" s="28"/>
    </row>
    <row r="58">
      <c r="B58" s="60"/>
      <c r="C58" s="305"/>
      <c r="D58" s="308"/>
      <c r="E58" s="306"/>
      <c r="F58" s="306"/>
      <c r="J58" s="32"/>
      <c r="K58" s="28"/>
      <c r="N58" s="28"/>
    </row>
    <row r="59">
      <c r="B59" s="60"/>
      <c r="C59" s="305"/>
      <c r="D59" s="305"/>
      <c r="E59" s="306"/>
      <c r="F59" s="306"/>
      <c r="J59" s="32"/>
      <c r="K59" s="28"/>
      <c r="N59" s="28"/>
    </row>
    <row r="60">
      <c r="B60" s="60"/>
      <c r="C60" s="308"/>
      <c r="D60" s="308"/>
      <c r="E60" s="306"/>
      <c r="F60" s="306"/>
      <c r="J60" s="32"/>
      <c r="K60" s="28"/>
      <c r="N60" s="28"/>
    </row>
    <row r="61">
      <c r="B61" s="60"/>
      <c r="C61" s="308"/>
      <c r="D61" s="308"/>
      <c r="E61" s="306"/>
      <c r="F61" s="306"/>
      <c r="J61" s="32"/>
      <c r="K61" s="28"/>
      <c r="N61" s="28"/>
    </row>
    <row r="62">
      <c r="B62" s="60"/>
      <c r="C62" s="308"/>
      <c r="D62" s="308"/>
      <c r="E62" s="306"/>
      <c r="F62" s="306"/>
      <c r="J62" s="32"/>
      <c r="K62" s="28"/>
      <c r="N62" s="28"/>
    </row>
    <row r="63">
      <c r="B63" s="60"/>
      <c r="C63" s="308"/>
      <c r="D63" s="308"/>
      <c r="E63" s="306"/>
      <c r="F63" s="306"/>
      <c r="J63" s="32"/>
      <c r="K63" s="28"/>
      <c r="N63" s="28"/>
    </row>
    <row r="64">
      <c r="B64" s="60"/>
      <c r="C64" s="308"/>
      <c r="D64" s="308"/>
      <c r="E64" s="306"/>
      <c r="F64" s="306"/>
      <c r="J64" s="32"/>
      <c r="K64" s="28"/>
      <c r="N64" s="28"/>
    </row>
    <row r="65">
      <c r="B65" s="60"/>
      <c r="C65" s="308"/>
      <c r="D65" s="308"/>
      <c r="E65" s="306"/>
      <c r="F65" s="306"/>
      <c r="J65" s="32"/>
      <c r="K65" s="28"/>
      <c r="N65" s="28"/>
    </row>
    <row r="66">
      <c r="B66" s="60"/>
      <c r="C66" s="308"/>
      <c r="D66" s="308"/>
      <c r="E66" s="306"/>
      <c r="F66" s="306"/>
      <c r="J66" s="32"/>
      <c r="K66" s="28"/>
      <c r="N66" s="28"/>
    </row>
    <row r="67">
      <c r="B67" s="60"/>
      <c r="C67" s="308"/>
      <c r="D67" s="308"/>
      <c r="E67" s="306"/>
      <c r="F67" s="306"/>
      <c r="J67" s="32"/>
      <c r="K67" s="28"/>
      <c r="N67" s="28"/>
    </row>
    <row r="68">
      <c r="A68" s="309"/>
      <c r="B68" s="310"/>
      <c r="C68" s="311"/>
      <c r="D68" s="311"/>
      <c r="E68" s="312"/>
      <c r="F68" s="312"/>
      <c r="I68" s="309"/>
      <c r="J68" s="313"/>
      <c r="K68" s="314"/>
      <c r="L68" s="309"/>
      <c r="M68" s="309"/>
      <c r="N68" s="314"/>
      <c r="O68" s="309"/>
      <c r="P68" s="309"/>
      <c r="Q68" s="309"/>
      <c r="R68" s="309"/>
      <c r="S68" s="309"/>
      <c r="T68" s="309"/>
      <c r="U68" s="309"/>
      <c r="V68" s="309"/>
      <c r="W68" s="309"/>
      <c r="X68" s="309"/>
      <c r="Y68" s="309"/>
      <c r="Z68" s="309"/>
      <c r="AA68" s="309"/>
      <c r="AB68" s="309"/>
      <c r="AC68" s="309"/>
    </row>
    <row r="69">
      <c r="B69" s="60"/>
      <c r="C69" s="308"/>
      <c r="D69" s="308"/>
      <c r="E69" s="306"/>
      <c r="F69" s="306"/>
      <c r="J69" s="32"/>
      <c r="K69" s="28"/>
      <c r="N69" s="28"/>
    </row>
    <row r="70">
      <c r="B70" s="60"/>
      <c r="C70" s="308"/>
      <c r="D70" s="308"/>
      <c r="E70" s="306"/>
      <c r="F70" s="306"/>
      <c r="J70" s="32"/>
      <c r="K70" s="28"/>
      <c r="N70" s="28"/>
    </row>
    <row r="71">
      <c r="B71" s="60"/>
      <c r="C71" s="308"/>
      <c r="D71" s="308"/>
      <c r="E71" s="306"/>
      <c r="F71" s="306"/>
      <c r="J71" s="32"/>
      <c r="K71" s="28"/>
      <c r="N71" s="28"/>
    </row>
    <row r="72">
      <c r="B72" s="60"/>
      <c r="C72" s="308"/>
      <c r="D72" s="308"/>
      <c r="E72" s="306"/>
      <c r="F72" s="306"/>
      <c r="J72" s="32"/>
      <c r="K72" s="28"/>
      <c r="N72" s="28"/>
    </row>
    <row r="73">
      <c r="B73" s="60"/>
      <c r="C73" s="308"/>
      <c r="D73" s="308"/>
      <c r="E73" s="306"/>
      <c r="F73" s="306"/>
      <c r="J73" s="32"/>
      <c r="K73" s="28"/>
      <c r="N73" s="28"/>
    </row>
    <row r="74">
      <c r="B74" s="60"/>
      <c r="C74" s="308"/>
      <c r="D74" s="308"/>
      <c r="E74" s="306"/>
      <c r="F74" s="306"/>
      <c r="J74" s="32"/>
      <c r="K74" s="28"/>
      <c r="N74" s="28"/>
    </row>
    <row r="75">
      <c r="B75" s="60"/>
      <c r="C75" s="308"/>
      <c r="D75" s="308"/>
      <c r="E75" s="306"/>
      <c r="F75" s="306"/>
      <c r="J75" s="32"/>
      <c r="K75" s="28"/>
      <c r="N75" s="28"/>
    </row>
    <row r="76">
      <c r="B76" s="60"/>
      <c r="C76" s="308"/>
      <c r="D76" s="308"/>
      <c r="E76" s="306"/>
      <c r="F76" s="306"/>
      <c r="J76" s="32"/>
      <c r="K76" s="28"/>
      <c r="N76" s="28"/>
    </row>
    <row r="77">
      <c r="B77" s="60"/>
      <c r="C77" s="308"/>
      <c r="D77" s="308"/>
      <c r="E77" s="306"/>
      <c r="F77" s="306"/>
      <c r="J77" s="32"/>
      <c r="K77" s="28"/>
      <c r="N77" s="28"/>
    </row>
    <row r="78">
      <c r="B78" s="60"/>
      <c r="C78" s="308"/>
      <c r="D78" s="308"/>
      <c r="E78" s="306"/>
      <c r="F78" s="306"/>
      <c r="J78" s="32"/>
      <c r="K78" s="28"/>
      <c r="N78" s="28"/>
    </row>
    <row r="79">
      <c r="B79" s="60"/>
      <c r="C79" s="308"/>
      <c r="D79" s="308"/>
      <c r="E79" s="306"/>
      <c r="F79" s="306"/>
      <c r="J79" s="32"/>
      <c r="K79" s="28"/>
      <c r="N79" s="28"/>
    </row>
    <row r="80">
      <c r="B80" s="60"/>
      <c r="C80" s="308"/>
      <c r="D80" s="308"/>
      <c r="E80" s="306"/>
      <c r="F80" s="306"/>
      <c r="J80" s="32"/>
      <c r="K80" s="28"/>
      <c r="N80" s="28"/>
    </row>
    <row r="81">
      <c r="B81" s="60"/>
      <c r="C81" s="308"/>
      <c r="D81" s="308"/>
      <c r="E81" s="306"/>
      <c r="F81" s="306"/>
      <c r="J81" s="32"/>
      <c r="K81" s="28"/>
      <c r="N81" s="28"/>
    </row>
    <row r="82">
      <c r="B82" s="60"/>
      <c r="C82" s="308"/>
      <c r="D82" s="308"/>
      <c r="E82" s="306"/>
      <c r="F82" s="306"/>
      <c r="J82" s="32"/>
      <c r="K82" s="28"/>
      <c r="N82" s="28"/>
    </row>
    <row r="83">
      <c r="B83" s="60"/>
      <c r="C83" s="308"/>
      <c r="D83" s="315"/>
      <c r="E83" s="306"/>
      <c r="F83" s="306"/>
      <c r="J83" s="32"/>
      <c r="K83" s="28"/>
      <c r="N83" s="28"/>
    </row>
    <row r="84">
      <c r="B84" s="60"/>
      <c r="C84" s="45"/>
      <c r="E84" s="306"/>
      <c r="F84" s="306"/>
      <c r="J84" s="32"/>
      <c r="K84" s="28"/>
      <c r="N84" s="28"/>
    </row>
    <row r="85">
      <c r="B85" s="60"/>
      <c r="C85" s="1"/>
      <c r="J85" s="32"/>
    </row>
    <row r="86">
      <c r="B86" s="60"/>
      <c r="C86" s="1"/>
      <c r="J86" s="32"/>
    </row>
    <row r="87">
      <c r="B87" s="60"/>
      <c r="C87" s="1"/>
      <c r="J87" s="32"/>
    </row>
    <row r="88">
      <c r="B88" s="60"/>
      <c r="C88" s="1"/>
      <c r="J88" s="32"/>
    </row>
    <row r="89">
      <c r="B89" s="60"/>
      <c r="C89" s="60"/>
      <c r="J89" s="32"/>
    </row>
    <row r="90">
      <c r="B90" s="60"/>
      <c r="C90" s="60"/>
      <c r="J90" s="32"/>
    </row>
    <row r="91">
      <c r="B91" s="60"/>
      <c r="C91" s="60"/>
      <c r="J91" s="32"/>
    </row>
    <row r="92">
      <c r="B92" s="60"/>
      <c r="C92" s="60"/>
      <c r="J92" s="32"/>
    </row>
    <row r="93">
      <c r="B93" s="60"/>
      <c r="C93" s="60"/>
      <c r="J93" s="32"/>
    </row>
    <row r="94">
      <c r="B94" s="60"/>
      <c r="C94" s="60"/>
      <c r="J94" s="32"/>
    </row>
    <row r="95">
      <c r="B95" s="60"/>
      <c r="C95" s="60"/>
      <c r="J95" s="32"/>
    </row>
    <row r="96">
      <c r="B96" s="60"/>
      <c r="C96" s="60"/>
      <c r="J96" s="32"/>
    </row>
    <row r="97">
      <c r="B97" s="60"/>
      <c r="C97" s="60"/>
      <c r="J97" s="32"/>
    </row>
    <row r="98">
      <c r="B98" s="60"/>
      <c r="C98" s="60"/>
      <c r="J98" s="32"/>
    </row>
    <row r="99">
      <c r="B99" s="60"/>
      <c r="C99" s="60"/>
      <c r="J99" s="32"/>
    </row>
    <row r="100">
      <c r="B100" s="60"/>
      <c r="C100" s="60"/>
      <c r="J100" s="36"/>
    </row>
    <row r="101">
      <c r="B101" s="60"/>
      <c r="C101" s="60"/>
      <c r="J101" s="36"/>
    </row>
    <row r="102">
      <c r="B102" s="60"/>
      <c r="C102" s="60"/>
      <c r="J102" s="36"/>
    </row>
    <row r="103">
      <c r="B103" s="60"/>
      <c r="C103" s="60"/>
      <c r="J103" s="36"/>
    </row>
    <row r="104">
      <c r="B104" s="60"/>
      <c r="C104" s="60"/>
      <c r="J104" s="36"/>
    </row>
    <row r="105">
      <c r="B105" s="60"/>
      <c r="C105" s="60"/>
    </row>
    <row r="106">
      <c r="B106" s="60"/>
      <c r="C106" s="60"/>
    </row>
    <row r="107">
      <c r="B107" s="60"/>
      <c r="C107" s="60"/>
    </row>
    <row r="108">
      <c r="B108" s="60"/>
      <c r="C108" s="60"/>
    </row>
    <row r="109">
      <c r="B109" s="60"/>
      <c r="C109" s="60"/>
    </row>
    <row r="110">
      <c r="B110" s="60"/>
      <c r="C110" s="60"/>
    </row>
    <row r="111">
      <c r="B111" s="60"/>
      <c r="C111" s="60"/>
    </row>
    <row r="112">
      <c r="B112" s="60"/>
      <c r="C112" s="60"/>
    </row>
    <row r="113">
      <c r="B113" s="60"/>
      <c r="C113" s="60"/>
    </row>
    <row r="114">
      <c r="B114" s="60"/>
      <c r="C114" s="60"/>
    </row>
    <row r="115">
      <c r="B115" s="60"/>
      <c r="C115" s="60"/>
    </row>
    <row r="116">
      <c r="B116" s="60"/>
      <c r="C116" s="60"/>
    </row>
    <row r="117">
      <c r="B117" s="60"/>
      <c r="C117" s="60"/>
    </row>
    <row r="118">
      <c r="B118" s="60"/>
      <c r="C118" s="60"/>
    </row>
    <row r="119">
      <c r="B119" s="60"/>
      <c r="C119" s="60"/>
    </row>
    <row r="120">
      <c r="B120" s="60"/>
      <c r="C120" s="60"/>
    </row>
    <row r="121">
      <c r="B121" s="60"/>
      <c r="C121" s="60"/>
    </row>
    <row r="122">
      <c r="B122" s="60"/>
      <c r="C122" s="60"/>
    </row>
    <row r="123">
      <c r="B123" s="60"/>
      <c r="C123" s="60"/>
    </row>
    <row r="124">
      <c r="B124" s="60"/>
      <c r="C124" s="60"/>
    </row>
    <row r="125">
      <c r="B125" s="60"/>
      <c r="C125" s="60"/>
    </row>
    <row r="126">
      <c r="B126" s="60"/>
      <c r="C126" s="60"/>
    </row>
    <row r="127">
      <c r="B127" s="60"/>
      <c r="C127" s="60"/>
    </row>
    <row r="128">
      <c r="B128" s="60"/>
      <c r="C128" s="60"/>
    </row>
    <row r="129">
      <c r="B129" s="60"/>
      <c r="C129" s="60"/>
    </row>
    <row r="130">
      <c r="B130" s="60"/>
      <c r="C130" s="60"/>
    </row>
    <row r="131">
      <c r="B131" s="60"/>
      <c r="C131" s="60"/>
    </row>
    <row r="132">
      <c r="B132" s="60"/>
      <c r="C132" s="60"/>
    </row>
    <row r="133">
      <c r="B133" s="60"/>
      <c r="C133" s="60"/>
    </row>
    <row r="134">
      <c r="B134" s="60"/>
      <c r="C134" s="60"/>
    </row>
    <row r="135">
      <c r="B135" s="60"/>
      <c r="C135" s="60"/>
    </row>
    <row r="136">
      <c r="B136" s="60"/>
      <c r="C136" s="60"/>
    </row>
    <row r="137">
      <c r="B137" s="60"/>
      <c r="C137" s="60"/>
    </row>
    <row r="138">
      <c r="B138" s="60"/>
      <c r="C138" s="60"/>
    </row>
    <row r="139">
      <c r="B139" s="60"/>
      <c r="C139" s="60"/>
    </row>
    <row r="140">
      <c r="B140" s="60"/>
      <c r="C140" s="60"/>
    </row>
    <row r="141">
      <c r="B141" s="60"/>
      <c r="C141" s="60"/>
    </row>
    <row r="142">
      <c r="B142" s="60"/>
      <c r="C142" s="60"/>
    </row>
    <row r="143">
      <c r="B143" s="60"/>
      <c r="C143" s="60"/>
    </row>
    <row r="144">
      <c r="B144" s="60"/>
      <c r="C144" s="60"/>
    </row>
    <row r="145">
      <c r="B145" s="60"/>
      <c r="C145" s="60"/>
    </row>
    <row r="146">
      <c r="B146" s="60"/>
      <c r="C146" s="60"/>
    </row>
    <row r="147">
      <c r="B147" s="60"/>
      <c r="C147" s="60"/>
    </row>
    <row r="148">
      <c r="B148" s="60"/>
      <c r="C148" s="60"/>
    </row>
    <row r="149">
      <c r="B149" s="60"/>
      <c r="C149" s="60"/>
    </row>
    <row r="150">
      <c r="B150" s="60"/>
      <c r="C150" s="60"/>
    </row>
    <row r="151">
      <c r="B151" s="60"/>
      <c r="C151" s="60"/>
    </row>
    <row r="152">
      <c r="B152" s="60"/>
      <c r="C152" s="60"/>
    </row>
    <row r="153">
      <c r="B153" s="60"/>
      <c r="C153" s="60"/>
    </row>
    <row r="154">
      <c r="B154" s="60"/>
      <c r="C154" s="60"/>
    </row>
    <row r="155">
      <c r="B155" s="60"/>
      <c r="C155" s="60"/>
    </row>
    <row r="156">
      <c r="B156" s="60"/>
      <c r="C156" s="60"/>
    </row>
    <row r="157">
      <c r="B157" s="60"/>
      <c r="C157" s="60"/>
    </row>
    <row r="158">
      <c r="B158" s="60"/>
      <c r="C158" s="60"/>
    </row>
    <row r="159">
      <c r="B159" s="60"/>
      <c r="C159" s="60"/>
    </row>
    <row r="160">
      <c r="B160" s="60"/>
      <c r="C160" s="60"/>
    </row>
    <row r="161">
      <c r="B161" s="60"/>
      <c r="C161" s="60"/>
    </row>
    <row r="162">
      <c r="B162" s="60"/>
      <c r="C162" s="60"/>
    </row>
    <row r="163">
      <c r="B163" s="60"/>
      <c r="C163" s="60"/>
    </row>
    <row r="164">
      <c r="B164" s="60"/>
      <c r="C164" s="60"/>
    </row>
    <row r="165">
      <c r="B165" s="60"/>
      <c r="C165" s="60"/>
    </row>
    <row r="166">
      <c r="B166" s="60"/>
      <c r="C166" s="60"/>
    </row>
    <row r="167">
      <c r="B167" s="60"/>
      <c r="C167" s="60"/>
    </row>
    <row r="168">
      <c r="B168" s="60"/>
      <c r="C168" s="60"/>
    </row>
    <row r="169">
      <c r="B169" s="60"/>
      <c r="C169" s="60"/>
    </row>
    <row r="170">
      <c r="B170" s="60"/>
      <c r="C170" s="60"/>
    </row>
    <row r="171">
      <c r="B171" s="60"/>
      <c r="C171" s="60"/>
    </row>
    <row r="172">
      <c r="B172" s="60"/>
      <c r="C172" s="60"/>
    </row>
    <row r="173">
      <c r="B173" s="60"/>
      <c r="C173" s="60"/>
    </row>
    <row r="174">
      <c r="B174" s="60"/>
      <c r="C174" s="60"/>
    </row>
    <row r="175">
      <c r="B175" s="60"/>
      <c r="C175" s="60"/>
    </row>
    <row r="176">
      <c r="B176" s="60"/>
      <c r="C176" s="60"/>
    </row>
    <row r="177">
      <c r="B177" s="60"/>
      <c r="C177" s="60"/>
    </row>
    <row r="178">
      <c r="B178" s="60"/>
      <c r="C178" s="60"/>
    </row>
    <row r="179">
      <c r="B179" s="60"/>
      <c r="C179" s="60"/>
    </row>
    <row r="180">
      <c r="B180" s="60"/>
      <c r="C180" s="60"/>
    </row>
    <row r="181">
      <c r="B181" s="60"/>
      <c r="C181" s="60"/>
    </row>
    <row r="182">
      <c r="B182" s="60"/>
      <c r="C182" s="60"/>
    </row>
    <row r="183">
      <c r="B183" s="60"/>
      <c r="C183" s="60"/>
    </row>
    <row r="184">
      <c r="B184" s="60"/>
      <c r="C184" s="60"/>
    </row>
    <row r="185">
      <c r="B185" s="60"/>
      <c r="C185" s="60"/>
    </row>
    <row r="186">
      <c r="B186" s="60"/>
      <c r="C186" s="60"/>
    </row>
    <row r="187">
      <c r="B187" s="60"/>
      <c r="C187" s="60"/>
    </row>
    <row r="188">
      <c r="B188" s="60"/>
      <c r="C188" s="60"/>
    </row>
    <row r="189">
      <c r="B189" s="60"/>
      <c r="C189" s="60"/>
    </row>
    <row r="190">
      <c r="B190" s="60"/>
      <c r="C190" s="60"/>
    </row>
    <row r="191">
      <c r="B191" s="60"/>
      <c r="C191" s="60"/>
    </row>
    <row r="192">
      <c r="B192" s="60"/>
      <c r="C192" s="60"/>
    </row>
    <row r="193">
      <c r="B193" s="60"/>
      <c r="C193" s="60"/>
    </row>
    <row r="194">
      <c r="B194" s="60"/>
      <c r="C194" s="60"/>
    </row>
    <row r="195">
      <c r="B195" s="60"/>
      <c r="C195" s="60"/>
    </row>
    <row r="196">
      <c r="B196" s="60"/>
      <c r="C196" s="60"/>
    </row>
    <row r="197">
      <c r="B197" s="60"/>
      <c r="C197" s="60"/>
    </row>
    <row r="198">
      <c r="B198" s="60"/>
      <c r="C198" s="60"/>
    </row>
    <row r="199">
      <c r="B199" s="60"/>
      <c r="C199" s="60"/>
    </row>
    <row r="200">
      <c r="B200" s="60"/>
      <c r="C200" s="60"/>
    </row>
    <row r="201">
      <c r="B201" s="60"/>
      <c r="C201" s="60"/>
    </row>
    <row r="202">
      <c r="B202" s="60"/>
      <c r="C202" s="60"/>
    </row>
    <row r="203">
      <c r="B203" s="60"/>
      <c r="C203" s="60"/>
    </row>
    <row r="204">
      <c r="B204" s="60"/>
      <c r="C204" s="60"/>
    </row>
    <row r="205">
      <c r="B205" s="60"/>
      <c r="C205" s="60"/>
    </row>
    <row r="206">
      <c r="B206" s="60"/>
      <c r="C206" s="60"/>
    </row>
    <row r="207">
      <c r="B207" s="60"/>
      <c r="C207" s="60"/>
    </row>
    <row r="208">
      <c r="B208" s="60"/>
      <c r="C208" s="60"/>
    </row>
    <row r="209">
      <c r="B209" s="60"/>
      <c r="C209" s="60"/>
    </row>
    <row r="210">
      <c r="B210" s="60"/>
      <c r="C210" s="60"/>
    </row>
    <row r="211">
      <c r="B211" s="60"/>
      <c r="C211" s="60"/>
    </row>
    <row r="212">
      <c r="B212" s="60"/>
      <c r="C212" s="60"/>
    </row>
    <row r="213">
      <c r="B213" s="60"/>
      <c r="C213" s="60"/>
    </row>
    <row r="214">
      <c r="B214" s="60"/>
      <c r="C214" s="60"/>
    </row>
    <row r="215">
      <c r="B215" s="60"/>
      <c r="C215" s="60"/>
    </row>
    <row r="216">
      <c r="B216" s="60"/>
      <c r="C216" s="60"/>
    </row>
    <row r="217">
      <c r="B217" s="60"/>
      <c r="C217" s="60"/>
    </row>
    <row r="218">
      <c r="B218" s="60"/>
      <c r="C218" s="60"/>
    </row>
    <row r="219">
      <c r="B219" s="60"/>
      <c r="C219" s="60"/>
    </row>
    <row r="220">
      <c r="B220" s="60"/>
      <c r="C220" s="60"/>
    </row>
    <row r="221">
      <c r="B221" s="60"/>
      <c r="C221" s="60"/>
    </row>
    <row r="222">
      <c r="B222" s="60"/>
      <c r="C222" s="60"/>
    </row>
    <row r="223">
      <c r="B223" s="60"/>
      <c r="C223" s="60"/>
    </row>
    <row r="224">
      <c r="B224" s="60"/>
      <c r="C224" s="60"/>
    </row>
    <row r="225">
      <c r="B225" s="60"/>
      <c r="C225" s="60"/>
    </row>
    <row r="226">
      <c r="B226" s="60"/>
      <c r="C226" s="60"/>
    </row>
    <row r="227">
      <c r="B227" s="60"/>
      <c r="C227" s="60"/>
    </row>
    <row r="228">
      <c r="B228" s="60"/>
      <c r="C228" s="60"/>
    </row>
    <row r="229">
      <c r="B229" s="60"/>
      <c r="C229" s="60"/>
    </row>
    <row r="230">
      <c r="B230" s="60"/>
      <c r="C230" s="60"/>
    </row>
    <row r="231">
      <c r="B231" s="60"/>
      <c r="C231" s="60"/>
    </row>
    <row r="232">
      <c r="B232" s="60"/>
      <c r="C232" s="60"/>
    </row>
    <row r="233">
      <c r="B233" s="60"/>
      <c r="C233" s="60"/>
    </row>
    <row r="234">
      <c r="B234" s="60"/>
      <c r="C234" s="60"/>
    </row>
    <row r="235">
      <c r="B235" s="60"/>
      <c r="C235" s="60"/>
    </row>
    <row r="236">
      <c r="B236" s="60"/>
      <c r="C236" s="60"/>
    </row>
    <row r="237">
      <c r="B237" s="60"/>
      <c r="C237" s="60"/>
    </row>
    <row r="238">
      <c r="B238" s="60"/>
      <c r="C238" s="60"/>
    </row>
    <row r="239">
      <c r="B239" s="60"/>
      <c r="C239" s="60"/>
    </row>
    <row r="240">
      <c r="B240" s="60"/>
      <c r="C240" s="60"/>
    </row>
    <row r="241">
      <c r="B241" s="60"/>
      <c r="C241" s="60"/>
    </row>
    <row r="242">
      <c r="B242" s="60"/>
      <c r="C242" s="60"/>
    </row>
    <row r="243">
      <c r="B243" s="60"/>
      <c r="C243" s="60"/>
    </row>
    <row r="244">
      <c r="B244" s="60"/>
      <c r="C244" s="60"/>
    </row>
    <row r="245">
      <c r="B245" s="60"/>
      <c r="C245" s="60"/>
    </row>
    <row r="246">
      <c r="B246" s="60"/>
      <c r="C246" s="60"/>
    </row>
    <row r="247">
      <c r="B247" s="60"/>
      <c r="C247" s="60"/>
    </row>
    <row r="248">
      <c r="B248" s="60"/>
      <c r="C248" s="60"/>
    </row>
    <row r="249">
      <c r="B249" s="60"/>
      <c r="C249" s="60"/>
    </row>
    <row r="250">
      <c r="B250" s="60"/>
      <c r="C250" s="60"/>
    </row>
    <row r="251">
      <c r="B251" s="60"/>
      <c r="C251" s="60"/>
    </row>
    <row r="252">
      <c r="B252" s="60"/>
      <c r="C252" s="60"/>
    </row>
    <row r="253">
      <c r="B253" s="60"/>
      <c r="C253" s="60"/>
    </row>
    <row r="254">
      <c r="B254" s="60"/>
      <c r="C254" s="60"/>
    </row>
    <row r="255">
      <c r="B255" s="60"/>
      <c r="C255" s="60"/>
    </row>
    <row r="256">
      <c r="B256" s="60"/>
      <c r="C256" s="60"/>
    </row>
    <row r="257">
      <c r="B257" s="60"/>
      <c r="C257" s="60"/>
    </row>
    <row r="258">
      <c r="B258" s="60"/>
      <c r="C258" s="60"/>
    </row>
    <row r="259">
      <c r="B259" s="60"/>
      <c r="C259" s="60"/>
    </row>
    <row r="260">
      <c r="B260" s="60"/>
      <c r="C260" s="60"/>
    </row>
    <row r="261">
      <c r="B261" s="60"/>
      <c r="C261" s="60"/>
    </row>
    <row r="262">
      <c r="B262" s="60"/>
      <c r="C262" s="60"/>
    </row>
    <row r="263">
      <c r="B263" s="60"/>
      <c r="C263" s="60"/>
    </row>
    <row r="264">
      <c r="B264" s="60"/>
      <c r="C264" s="60"/>
    </row>
    <row r="265">
      <c r="B265" s="60"/>
      <c r="C265" s="60"/>
    </row>
    <row r="266">
      <c r="B266" s="60"/>
      <c r="C266" s="60"/>
    </row>
    <row r="267">
      <c r="B267" s="60"/>
      <c r="C267" s="60"/>
    </row>
    <row r="268">
      <c r="B268" s="60"/>
      <c r="C268" s="60"/>
    </row>
    <row r="269">
      <c r="B269" s="60"/>
      <c r="C269" s="60"/>
    </row>
    <row r="270">
      <c r="B270" s="60"/>
      <c r="C270" s="60"/>
    </row>
    <row r="271">
      <c r="B271" s="60"/>
      <c r="C271" s="60"/>
    </row>
    <row r="272">
      <c r="B272" s="60"/>
      <c r="C272" s="60"/>
    </row>
    <row r="273">
      <c r="B273" s="60"/>
      <c r="C273" s="60"/>
    </row>
    <row r="274">
      <c r="B274" s="60"/>
      <c r="C274" s="60"/>
    </row>
    <row r="275">
      <c r="B275" s="60"/>
      <c r="C275" s="60"/>
    </row>
    <row r="276">
      <c r="B276" s="60"/>
      <c r="C276" s="60"/>
    </row>
    <row r="277">
      <c r="B277" s="60"/>
      <c r="C277" s="60"/>
    </row>
    <row r="278">
      <c r="B278" s="60"/>
      <c r="C278" s="60"/>
    </row>
    <row r="279">
      <c r="B279" s="60"/>
      <c r="C279" s="60"/>
    </row>
    <row r="280">
      <c r="B280" s="60"/>
      <c r="C280" s="60"/>
    </row>
    <row r="281">
      <c r="B281" s="60"/>
      <c r="C281" s="60"/>
    </row>
    <row r="282">
      <c r="B282" s="60"/>
      <c r="C282" s="60"/>
    </row>
    <row r="283">
      <c r="B283" s="60"/>
      <c r="C283" s="60"/>
    </row>
    <row r="284">
      <c r="B284" s="60"/>
      <c r="C284" s="60"/>
    </row>
    <row r="285">
      <c r="B285" s="60"/>
      <c r="C285" s="60"/>
    </row>
    <row r="286">
      <c r="B286" s="60"/>
      <c r="C286" s="60"/>
    </row>
    <row r="287">
      <c r="B287" s="60"/>
      <c r="C287" s="60"/>
    </row>
    <row r="288">
      <c r="B288" s="60"/>
      <c r="C288" s="60"/>
    </row>
    <row r="289">
      <c r="B289" s="60"/>
      <c r="C289" s="60"/>
    </row>
    <row r="290">
      <c r="B290" s="60"/>
      <c r="C290" s="60"/>
    </row>
    <row r="291">
      <c r="B291" s="60"/>
      <c r="C291" s="60"/>
    </row>
    <row r="292">
      <c r="B292" s="60"/>
      <c r="C292" s="60"/>
    </row>
    <row r="293">
      <c r="B293" s="60"/>
      <c r="C293" s="60"/>
    </row>
    <row r="294">
      <c r="B294" s="60"/>
      <c r="C294" s="60"/>
    </row>
    <row r="295">
      <c r="B295" s="60"/>
      <c r="C295" s="60"/>
    </row>
    <row r="296">
      <c r="B296" s="60"/>
      <c r="C296" s="60"/>
    </row>
    <row r="297">
      <c r="B297" s="60"/>
      <c r="C297" s="60"/>
    </row>
    <row r="298">
      <c r="B298" s="60"/>
      <c r="C298" s="60"/>
    </row>
    <row r="299">
      <c r="B299" s="60"/>
      <c r="C299" s="60"/>
    </row>
    <row r="300">
      <c r="B300" s="60"/>
      <c r="C300" s="60"/>
    </row>
    <row r="301">
      <c r="B301" s="60"/>
      <c r="C301" s="60"/>
    </row>
    <row r="302">
      <c r="B302" s="60"/>
      <c r="C302" s="60"/>
    </row>
    <row r="303">
      <c r="B303" s="60"/>
      <c r="C303" s="60"/>
    </row>
    <row r="304">
      <c r="B304" s="60"/>
      <c r="C304" s="60"/>
    </row>
    <row r="305">
      <c r="B305" s="60"/>
      <c r="C305" s="60"/>
    </row>
    <row r="306">
      <c r="B306" s="60"/>
      <c r="C306" s="60"/>
    </row>
    <row r="307">
      <c r="B307" s="60"/>
      <c r="C307" s="60"/>
    </row>
    <row r="308">
      <c r="B308" s="60"/>
      <c r="C308" s="60"/>
    </row>
    <row r="309">
      <c r="B309" s="60"/>
      <c r="C309" s="60"/>
    </row>
    <row r="310">
      <c r="B310" s="60"/>
      <c r="C310" s="60"/>
    </row>
    <row r="311">
      <c r="B311" s="60"/>
      <c r="C311" s="60"/>
    </row>
    <row r="312">
      <c r="B312" s="60"/>
      <c r="C312" s="60"/>
    </row>
    <row r="313">
      <c r="B313" s="60"/>
      <c r="C313" s="60"/>
    </row>
    <row r="314">
      <c r="B314" s="60"/>
      <c r="C314" s="60"/>
    </row>
    <row r="315">
      <c r="B315" s="60"/>
      <c r="C315" s="60"/>
    </row>
    <row r="316">
      <c r="B316" s="60"/>
      <c r="C316" s="60"/>
    </row>
    <row r="317">
      <c r="B317" s="60"/>
      <c r="C317" s="60"/>
    </row>
    <row r="318">
      <c r="B318" s="60"/>
      <c r="C318" s="60"/>
    </row>
    <row r="319">
      <c r="B319" s="60"/>
      <c r="C319" s="60"/>
    </row>
    <row r="320">
      <c r="B320" s="60"/>
      <c r="C320" s="60"/>
    </row>
    <row r="321">
      <c r="B321" s="60"/>
      <c r="C321" s="60"/>
    </row>
    <row r="322">
      <c r="B322" s="60"/>
      <c r="C322" s="60"/>
    </row>
    <row r="323">
      <c r="B323" s="60"/>
      <c r="C323" s="60"/>
    </row>
    <row r="324">
      <c r="B324" s="60"/>
      <c r="C324" s="60"/>
    </row>
    <row r="325">
      <c r="B325" s="60"/>
      <c r="C325" s="60"/>
    </row>
    <row r="326">
      <c r="B326" s="60"/>
      <c r="C326" s="60"/>
    </row>
    <row r="327">
      <c r="B327" s="60"/>
      <c r="C327" s="60"/>
    </row>
    <row r="328">
      <c r="B328" s="60"/>
      <c r="C328" s="60"/>
    </row>
    <row r="329">
      <c r="B329" s="60"/>
      <c r="C329" s="60"/>
    </row>
    <row r="330">
      <c r="B330" s="60"/>
      <c r="C330" s="60"/>
    </row>
    <row r="331">
      <c r="B331" s="60"/>
      <c r="C331" s="60"/>
    </row>
    <row r="332">
      <c r="B332" s="60"/>
      <c r="C332" s="60"/>
    </row>
    <row r="333">
      <c r="B333" s="60"/>
      <c r="C333" s="60"/>
    </row>
    <row r="334">
      <c r="B334" s="60"/>
      <c r="C334" s="60"/>
    </row>
    <row r="335">
      <c r="B335" s="60"/>
      <c r="C335" s="60"/>
    </row>
    <row r="336">
      <c r="B336" s="60"/>
      <c r="C336" s="60"/>
    </row>
    <row r="337">
      <c r="B337" s="60"/>
      <c r="C337" s="60"/>
    </row>
    <row r="338">
      <c r="B338" s="60"/>
      <c r="C338" s="60"/>
    </row>
    <row r="339">
      <c r="B339" s="60"/>
      <c r="C339" s="60"/>
    </row>
    <row r="340">
      <c r="B340" s="60"/>
      <c r="C340" s="60"/>
    </row>
    <row r="341">
      <c r="B341" s="60"/>
      <c r="C341" s="60"/>
    </row>
    <row r="342">
      <c r="B342" s="60"/>
      <c r="C342" s="60"/>
    </row>
    <row r="343">
      <c r="B343" s="60"/>
      <c r="C343" s="60"/>
    </row>
    <row r="344">
      <c r="B344" s="60"/>
      <c r="C344" s="60"/>
    </row>
    <row r="345">
      <c r="B345" s="60"/>
      <c r="C345" s="60"/>
    </row>
    <row r="346">
      <c r="B346" s="60"/>
      <c r="C346" s="60"/>
    </row>
    <row r="347">
      <c r="B347" s="60"/>
      <c r="C347" s="60"/>
    </row>
    <row r="348">
      <c r="B348" s="60"/>
      <c r="C348" s="60"/>
    </row>
    <row r="349">
      <c r="B349" s="60"/>
      <c r="C349" s="60"/>
    </row>
    <row r="350">
      <c r="B350" s="60"/>
      <c r="C350" s="60"/>
    </row>
    <row r="351">
      <c r="B351" s="60"/>
      <c r="C351" s="60"/>
    </row>
    <row r="352">
      <c r="B352" s="60"/>
      <c r="C352" s="60"/>
    </row>
    <row r="353">
      <c r="B353" s="60"/>
      <c r="C353" s="60"/>
    </row>
    <row r="354">
      <c r="B354" s="60"/>
      <c r="C354" s="60"/>
    </row>
    <row r="355">
      <c r="B355" s="60"/>
      <c r="C355" s="60"/>
    </row>
    <row r="356">
      <c r="B356" s="60"/>
      <c r="C356" s="60"/>
    </row>
    <row r="357">
      <c r="B357" s="60"/>
      <c r="C357" s="60"/>
    </row>
    <row r="358">
      <c r="B358" s="60"/>
      <c r="C358" s="60"/>
    </row>
    <row r="359">
      <c r="B359" s="60"/>
      <c r="C359" s="60"/>
    </row>
    <row r="360">
      <c r="B360" s="60"/>
      <c r="C360" s="60"/>
    </row>
    <row r="361">
      <c r="B361" s="60"/>
      <c r="C361" s="60"/>
    </row>
    <row r="362">
      <c r="B362" s="60"/>
      <c r="C362" s="60"/>
    </row>
    <row r="363">
      <c r="B363" s="60"/>
      <c r="C363" s="60"/>
    </row>
    <row r="364">
      <c r="B364" s="60"/>
      <c r="C364" s="60"/>
    </row>
    <row r="365">
      <c r="B365" s="60"/>
      <c r="C365" s="60"/>
    </row>
    <row r="366">
      <c r="B366" s="60"/>
      <c r="C366" s="60"/>
    </row>
    <row r="367">
      <c r="B367" s="60"/>
      <c r="C367" s="60"/>
    </row>
    <row r="368">
      <c r="B368" s="60"/>
      <c r="C368" s="60"/>
    </row>
    <row r="369">
      <c r="B369" s="60"/>
      <c r="C369" s="60"/>
    </row>
    <row r="370">
      <c r="B370" s="60"/>
      <c r="C370" s="60"/>
    </row>
    <row r="371">
      <c r="B371" s="60"/>
      <c r="C371" s="60"/>
    </row>
    <row r="372">
      <c r="B372" s="60"/>
      <c r="C372" s="60"/>
    </row>
    <row r="373">
      <c r="B373" s="60"/>
      <c r="C373" s="60"/>
    </row>
    <row r="374">
      <c r="B374" s="60"/>
      <c r="C374" s="60"/>
    </row>
    <row r="375">
      <c r="B375" s="60"/>
      <c r="C375" s="60"/>
    </row>
    <row r="376">
      <c r="B376" s="60"/>
      <c r="C376" s="60"/>
    </row>
    <row r="377">
      <c r="B377" s="60"/>
      <c r="C377" s="60"/>
    </row>
    <row r="378">
      <c r="B378" s="60"/>
      <c r="C378" s="60"/>
    </row>
    <row r="379">
      <c r="B379" s="60"/>
      <c r="C379" s="60"/>
    </row>
    <row r="380">
      <c r="B380" s="60"/>
      <c r="C380" s="60"/>
    </row>
    <row r="381">
      <c r="B381" s="60"/>
      <c r="C381" s="60"/>
    </row>
    <row r="382">
      <c r="B382" s="60"/>
      <c r="C382" s="60"/>
    </row>
    <row r="383">
      <c r="B383" s="60"/>
      <c r="C383" s="60"/>
    </row>
    <row r="384">
      <c r="B384" s="60"/>
      <c r="C384" s="60"/>
    </row>
    <row r="385">
      <c r="B385" s="60"/>
      <c r="C385" s="60"/>
    </row>
    <row r="386">
      <c r="B386" s="60"/>
      <c r="C386" s="60"/>
    </row>
    <row r="387">
      <c r="B387" s="60"/>
      <c r="C387" s="60"/>
    </row>
    <row r="388">
      <c r="B388" s="60"/>
      <c r="C388" s="60"/>
    </row>
    <row r="389">
      <c r="B389" s="60"/>
      <c r="C389" s="60"/>
    </row>
    <row r="390">
      <c r="B390" s="60"/>
      <c r="C390" s="60"/>
    </row>
    <row r="391">
      <c r="B391" s="60"/>
      <c r="C391" s="60"/>
    </row>
    <row r="392">
      <c r="B392" s="60"/>
      <c r="C392" s="60"/>
    </row>
    <row r="393">
      <c r="B393" s="60"/>
      <c r="C393" s="60"/>
    </row>
    <row r="394">
      <c r="B394" s="60"/>
      <c r="C394" s="60"/>
    </row>
    <row r="395">
      <c r="B395" s="60"/>
      <c r="C395" s="60"/>
    </row>
    <row r="396">
      <c r="B396" s="60"/>
      <c r="C396" s="60"/>
    </row>
    <row r="397">
      <c r="B397" s="60"/>
      <c r="C397" s="60"/>
    </row>
    <row r="398">
      <c r="B398" s="60"/>
      <c r="C398" s="60"/>
    </row>
    <row r="399">
      <c r="B399" s="60"/>
      <c r="C399" s="60"/>
    </row>
    <row r="400">
      <c r="B400" s="60"/>
      <c r="C400" s="60"/>
    </row>
    <row r="401">
      <c r="B401" s="60"/>
      <c r="C401" s="60"/>
    </row>
    <row r="402">
      <c r="B402" s="60"/>
      <c r="C402" s="60"/>
    </row>
    <row r="403">
      <c r="B403" s="60"/>
      <c r="C403" s="60"/>
    </row>
    <row r="404">
      <c r="B404" s="60"/>
      <c r="C404" s="60"/>
    </row>
    <row r="405">
      <c r="B405" s="60"/>
      <c r="C405" s="60"/>
    </row>
    <row r="406">
      <c r="B406" s="60"/>
      <c r="C406" s="60"/>
    </row>
    <row r="407">
      <c r="B407" s="60"/>
      <c r="C407" s="60"/>
    </row>
    <row r="408">
      <c r="B408" s="60"/>
      <c r="C408" s="60"/>
    </row>
    <row r="409">
      <c r="B409" s="60"/>
      <c r="C409" s="60"/>
    </row>
    <row r="410">
      <c r="B410" s="60"/>
      <c r="C410" s="60"/>
    </row>
    <row r="411">
      <c r="B411" s="60"/>
      <c r="C411" s="60"/>
    </row>
    <row r="412">
      <c r="B412" s="60"/>
      <c r="C412" s="60"/>
    </row>
    <row r="413">
      <c r="B413" s="60"/>
      <c r="C413" s="60"/>
    </row>
    <row r="414">
      <c r="B414" s="60"/>
      <c r="C414" s="60"/>
    </row>
    <row r="415">
      <c r="B415" s="60"/>
      <c r="C415" s="60"/>
    </row>
    <row r="416">
      <c r="B416" s="60"/>
      <c r="C416" s="60"/>
    </row>
    <row r="417">
      <c r="B417" s="60"/>
      <c r="C417" s="60"/>
    </row>
    <row r="418">
      <c r="B418" s="60"/>
      <c r="C418" s="60"/>
    </row>
    <row r="419">
      <c r="B419" s="60"/>
      <c r="C419" s="60"/>
    </row>
    <row r="420">
      <c r="B420" s="60"/>
      <c r="C420" s="60"/>
    </row>
    <row r="421">
      <c r="B421" s="60"/>
      <c r="C421" s="60"/>
    </row>
    <row r="422">
      <c r="B422" s="60"/>
      <c r="C422" s="60"/>
    </row>
    <row r="423">
      <c r="B423" s="60"/>
      <c r="C423" s="60"/>
    </row>
    <row r="424">
      <c r="B424" s="60"/>
      <c r="C424" s="60"/>
    </row>
    <row r="425">
      <c r="B425" s="60"/>
      <c r="C425" s="60"/>
    </row>
    <row r="426">
      <c r="B426" s="60"/>
      <c r="C426" s="60"/>
    </row>
    <row r="427">
      <c r="B427" s="60"/>
      <c r="C427" s="60"/>
    </row>
    <row r="428">
      <c r="B428" s="60"/>
      <c r="C428" s="60"/>
    </row>
    <row r="429">
      <c r="B429" s="60"/>
      <c r="C429" s="60"/>
    </row>
    <row r="430">
      <c r="B430" s="60"/>
      <c r="C430" s="60"/>
    </row>
    <row r="431">
      <c r="B431" s="60"/>
      <c r="C431" s="60"/>
    </row>
    <row r="432">
      <c r="B432" s="60"/>
      <c r="C432" s="60"/>
    </row>
    <row r="433">
      <c r="B433" s="60"/>
      <c r="C433" s="60"/>
    </row>
    <row r="434">
      <c r="B434" s="60"/>
      <c r="C434" s="60"/>
    </row>
    <row r="435">
      <c r="B435" s="60"/>
      <c r="C435" s="60"/>
    </row>
    <row r="436">
      <c r="B436" s="60"/>
      <c r="C436" s="60"/>
    </row>
    <row r="437">
      <c r="B437" s="60"/>
      <c r="C437" s="60"/>
    </row>
    <row r="438">
      <c r="B438" s="60"/>
      <c r="C438" s="60"/>
    </row>
    <row r="439">
      <c r="B439" s="60"/>
      <c r="C439" s="60"/>
    </row>
    <row r="440">
      <c r="B440" s="60"/>
      <c r="C440" s="60"/>
    </row>
    <row r="441">
      <c r="B441" s="60"/>
      <c r="C441" s="60"/>
    </row>
    <row r="442">
      <c r="B442" s="60"/>
      <c r="C442" s="60"/>
    </row>
    <row r="443">
      <c r="B443" s="60"/>
      <c r="C443" s="60"/>
    </row>
    <row r="444">
      <c r="B444" s="60"/>
      <c r="C444" s="60"/>
    </row>
    <row r="445">
      <c r="B445" s="60"/>
      <c r="C445" s="60"/>
    </row>
    <row r="446">
      <c r="B446" s="60"/>
      <c r="C446" s="60"/>
    </row>
    <row r="447">
      <c r="B447" s="60"/>
      <c r="C447" s="60"/>
    </row>
    <row r="448">
      <c r="B448" s="60"/>
      <c r="C448" s="60"/>
    </row>
    <row r="449">
      <c r="B449" s="60"/>
      <c r="C449" s="60"/>
    </row>
    <row r="450">
      <c r="B450" s="60"/>
      <c r="C450" s="60"/>
    </row>
    <row r="451">
      <c r="B451" s="60"/>
      <c r="C451" s="60"/>
    </row>
    <row r="452">
      <c r="B452" s="60"/>
      <c r="C452" s="60"/>
    </row>
    <row r="453">
      <c r="B453" s="60"/>
      <c r="C453" s="60"/>
    </row>
    <row r="454">
      <c r="B454" s="60"/>
      <c r="C454" s="60"/>
    </row>
    <row r="455">
      <c r="B455" s="60"/>
      <c r="C455" s="60"/>
    </row>
    <row r="456">
      <c r="B456" s="60"/>
      <c r="C456" s="60"/>
    </row>
    <row r="457">
      <c r="B457" s="60"/>
      <c r="C457" s="60"/>
    </row>
    <row r="458">
      <c r="B458" s="60"/>
      <c r="C458" s="60"/>
    </row>
    <row r="459">
      <c r="B459" s="60"/>
      <c r="C459" s="60"/>
    </row>
    <row r="460">
      <c r="B460" s="60"/>
      <c r="C460" s="60"/>
    </row>
    <row r="461">
      <c r="B461" s="60"/>
      <c r="C461" s="60"/>
    </row>
    <row r="462">
      <c r="B462" s="60"/>
      <c r="C462" s="60"/>
    </row>
    <row r="463">
      <c r="B463" s="60"/>
      <c r="C463" s="60"/>
    </row>
    <row r="464">
      <c r="B464" s="60"/>
      <c r="C464" s="60"/>
    </row>
    <row r="465">
      <c r="B465" s="60"/>
      <c r="C465" s="60"/>
    </row>
    <row r="466">
      <c r="B466" s="60"/>
      <c r="C466" s="60"/>
    </row>
    <row r="467">
      <c r="B467" s="60"/>
      <c r="C467" s="60"/>
    </row>
    <row r="468">
      <c r="B468" s="60"/>
      <c r="C468" s="60"/>
    </row>
    <row r="469">
      <c r="B469" s="60"/>
      <c r="C469" s="60"/>
    </row>
    <row r="470">
      <c r="B470" s="60"/>
      <c r="C470" s="60"/>
    </row>
    <row r="471">
      <c r="B471" s="60"/>
      <c r="C471" s="60"/>
    </row>
    <row r="472">
      <c r="B472" s="60"/>
      <c r="C472" s="60"/>
    </row>
    <row r="473">
      <c r="B473" s="60"/>
      <c r="C473" s="60"/>
    </row>
    <row r="474">
      <c r="B474" s="60"/>
      <c r="C474" s="60"/>
    </row>
    <row r="475">
      <c r="B475" s="60"/>
      <c r="C475" s="60"/>
    </row>
    <row r="476">
      <c r="B476" s="60"/>
      <c r="C476" s="60"/>
    </row>
    <row r="477">
      <c r="B477" s="60"/>
      <c r="C477" s="60"/>
    </row>
    <row r="478">
      <c r="B478" s="60"/>
      <c r="C478" s="60"/>
    </row>
    <row r="479">
      <c r="B479" s="60"/>
      <c r="C479" s="60"/>
    </row>
    <row r="480">
      <c r="B480" s="60"/>
      <c r="C480" s="60"/>
    </row>
    <row r="481">
      <c r="B481" s="60"/>
      <c r="C481" s="60"/>
    </row>
    <row r="482">
      <c r="B482" s="60"/>
      <c r="C482" s="60"/>
    </row>
    <row r="483">
      <c r="B483" s="60"/>
      <c r="C483" s="60"/>
    </row>
    <row r="484">
      <c r="B484" s="60"/>
      <c r="C484" s="60"/>
    </row>
    <row r="485">
      <c r="B485" s="60"/>
      <c r="C485" s="60"/>
    </row>
    <row r="486">
      <c r="B486" s="60"/>
      <c r="C486" s="60"/>
    </row>
    <row r="487">
      <c r="B487" s="60"/>
      <c r="C487" s="60"/>
    </row>
    <row r="488">
      <c r="B488" s="60"/>
      <c r="C488" s="60"/>
    </row>
    <row r="489">
      <c r="B489" s="60"/>
      <c r="C489" s="60"/>
    </row>
    <row r="490">
      <c r="B490" s="60"/>
      <c r="C490" s="60"/>
    </row>
    <row r="491">
      <c r="B491" s="60"/>
      <c r="C491" s="60"/>
    </row>
    <row r="492">
      <c r="B492" s="60"/>
      <c r="C492" s="60"/>
    </row>
    <row r="493">
      <c r="B493" s="60"/>
      <c r="C493" s="60"/>
    </row>
    <row r="494">
      <c r="B494" s="60"/>
      <c r="C494" s="60"/>
    </row>
    <row r="495">
      <c r="B495" s="60"/>
      <c r="C495" s="60"/>
    </row>
    <row r="496">
      <c r="B496" s="60"/>
      <c r="C496" s="60"/>
    </row>
    <row r="497">
      <c r="B497" s="60"/>
      <c r="C497" s="60"/>
    </row>
    <row r="498">
      <c r="B498" s="60"/>
      <c r="C498" s="60"/>
    </row>
    <row r="499">
      <c r="B499" s="60"/>
      <c r="C499" s="60"/>
    </row>
    <row r="500">
      <c r="B500" s="60"/>
      <c r="C500" s="60"/>
    </row>
    <row r="501">
      <c r="B501" s="60"/>
      <c r="C501" s="60"/>
    </row>
    <row r="502">
      <c r="B502" s="60"/>
      <c r="C502" s="60"/>
    </row>
    <row r="503">
      <c r="B503" s="60"/>
      <c r="C503" s="60"/>
    </row>
    <row r="504">
      <c r="B504" s="60"/>
      <c r="C504" s="60"/>
    </row>
    <row r="505">
      <c r="B505" s="60"/>
      <c r="C505" s="60"/>
    </row>
    <row r="506">
      <c r="B506" s="60"/>
      <c r="C506" s="60"/>
    </row>
    <row r="507">
      <c r="B507" s="60"/>
      <c r="C507" s="60"/>
    </row>
    <row r="508">
      <c r="B508" s="60"/>
      <c r="C508" s="60"/>
    </row>
    <row r="509">
      <c r="B509" s="60"/>
      <c r="C509" s="60"/>
    </row>
    <row r="510">
      <c r="B510" s="60"/>
      <c r="C510" s="60"/>
    </row>
    <row r="511">
      <c r="B511" s="60"/>
      <c r="C511" s="60"/>
    </row>
    <row r="512">
      <c r="B512" s="60"/>
      <c r="C512" s="60"/>
    </row>
    <row r="513">
      <c r="B513" s="60"/>
      <c r="C513" s="60"/>
    </row>
    <row r="514">
      <c r="B514" s="60"/>
      <c r="C514" s="60"/>
    </row>
    <row r="515">
      <c r="B515" s="60"/>
      <c r="C515" s="60"/>
    </row>
    <row r="516">
      <c r="B516" s="60"/>
      <c r="C516" s="60"/>
    </row>
    <row r="517">
      <c r="B517" s="60"/>
      <c r="C517" s="60"/>
    </row>
    <row r="518">
      <c r="B518" s="60"/>
      <c r="C518" s="60"/>
    </row>
    <row r="519">
      <c r="B519" s="60"/>
      <c r="C519" s="60"/>
    </row>
    <row r="520">
      <c r="B520" s="60"/>
      <c r="C520" s="60"/>
    </row>
    <row r="521">
      <c r="B521" s="60"/>
      <c r="C521" s="60"/>
    </row>
    <row r="522">
      <c r="B522" s="60"/>
      <c r="C522" s="60"/>
    </row>
    <row r="523">
      <c r="B523" s="60"/>
      <c r="C523" s="60"/>
    </row>
    <row r="524">
      <c r="B524" s="60"/>
      <c r="C524" s="60"/>
    </row>
    <row r="525">
      <c r="B525" s="60"/>
      <c r="C525" s="60"/>
    </row>
    <row r="526">
      <c r="B526" s="60"/>
      <c r="C526" s="60"/>
    </row>
    <row r="527">
      <c r="B527" s="60"/>
      <c r="C527" s="60"/>
    </row>
    <row r="528">
      <c r="B528" s="60"/>
      <c r="C528" s="60"/>
    </row>
    <row r="529">
      <c r="B529" s="60"/>
      <c r="C529" s="60"/>
    </row>
    <row r="530">
      <c r="B530" s="60"/>
      <c r="C530" s="60"/>
    </row>
    <row r="531">
      <c r="B531" s="60"/>
      <c r="C531" s="60"/>
    </row>
    <row r="532">
      <c r="B532" s="60"/>
      <c r="C532" s="60"/>
    </row>
    <row r="533">
      <c r="B533" s="60"/>
      <c r="C533" s="60"/>
    </row>
    <row r="534">
      <c r="B534" s="60"/>
      <c r="C534" s="60"/>
    </row>
    <row r="535">
      <c r="B535" s="60"/>
      <c r="C535" s="60"/>
    </row>
    <row r="536">
      <c r="B536" s="60"/>
      <c r="C536" s="60"/>
    </row>
    <row r="537">
      <c r="B537" s="60"/>
      <c r="C537" s="60"/>
    </row>
    <row r="538">
      <c r="B538" s="60"/>
      <c r="C538" s="60"/>
    </row>
    <row r="539">
      <c r="B539" s="60"/>
      <c r="C539" s="60"/>
    </row>
    <row r="540">
      <c r="B540" s="60"/>
      <c r="C540" s="60"/>
    </row>
    <row r="541">
      <c r="B541" s="60"/>
      <c r="C541" s="60"/>
    </row>
    <row r="542">
      <c r="B542" s="60"/>
      <c r="C542" s="60"/>
    </row>
    <row r="543">
      <c r="B543" s="60"/>
      <c r="C543" s="60"/>
    </row>
    <row r="544">
      <c r="B544" s="60"/>
      <c r="C544" s="60"/>
    </row>
    <row r="545">
      <c r="B545" s="60"/>
      <c r="C545" s="60"/>
    </row>
    <row r="546">
      <c r="B546" s="60"/>
      <c r="C546" s="60"/>
    </row>
    <row r="547">
      <c r="B547" s="60"/>
      <c r="C547" s="60"/>
    </row>
    <row r="548">
      <c r="B548" s="60"/>
      <c r="C548" s="60"/>
    </row>
    <row r="549">
      <c r="B549" s="60"/>
      <c r="C549" s="60"/>
    </row>
    <row r="550">
      <c r="B550" s="60"/>
      <c r="C550" s="60"/>
    </row>
    <row r="551">
      <c r="B551" s="60"/>
      <c r="C551" s="60"/>
    </row>
    <row r="552">
      <c r="B552" s="60"/>
      <c r="C552" s="60"/>
    </row>
    <row r="553">
      <c r="B553" s="60"/>
      <c r="C553" s="60"/>
    </row>
    <row r="554">
      <c r="B554" s="60"/>
      <c r="C554" s="60"/>
    </row>
    <row r="555">
      <c r="B555" s="60"/>
      <c r="C555" s="60"/>
    </row>
    <row r="556">
      <c r="B556" s="60"/>
      <c r="C556" s="60"/>
    </row>
    <row r="557">
      <c r="B557" s="60"/>
      <c r="C557" s="60"/>
    </row>
    <row r="558">
      <c r="B558" s="60"/>
      <c r="C558" s="60"/>
    </row>
    <row r="559">
      <c r="B559" s="60"/>
      <c r="C559" s="60"/>
    </row>
    <row r="560">
      <c r="B560" s="60"/>
      <c r="C560" s="60"/>
    </row>
    <row r="561">
      <c r="B561" s="60"/>
      <c r="C561" s="60"/>
    </row>
    <row r="562">
      <c r="B562" s="60"/>
      <c r="C562" s="60"/>
    </row>
    <row r="563">
      <c r="B563" s="60"/>
      <c r="C563" s="60"/>
    </row>
    <row r="564">
      <c r="B564" s="60"/>
      <c r="C564" s="60"/>
    </row>
    <row r="565">
      <c r="B565" s="60"/>
      <c r="C565" s="60"/>
    </row>
    <row r="566">
      <c r="B566" s="60"/>
      <c r="C566" s="60"/>
    </row>
    <row r="567">
      <c r="B567" s="60"/>
      <c r="C567" s="60"/>
    </row>
    <row r="568">
      <c r="B568" s="60"/>
      <c r="C568" s="60"/>
    </row>
    <row r="569">
      <c r="B569" s="60"/>
      <c r="C569" s="60"/>
    </row>
    <row r="570">
      <c r="B570" s="60"/>
      <c r="C570" s="60"/>
    </row>
    <row r="571">
      <c r="B571" s="60"/>
      <c r="C571" s="60"/>
    </row>
    <row r="572">
      <c r="B572" s="60"/>
      <c r="C572" s="60"/>
    </row>
    <row r="573">
      <c r="B573" s="60"/>
      <c r="C573" s="60"/>
    </row>
    <row r="574">
      <c r="B574" s="60"/>
      <c r="C574" s="60"/>
    </row>
    <row r="575">
      <c r="B575" s="60"/>
      <c r="C575" s="60"/>
    </row>
    <row r="576">
      <c r="B576" s="60"/>
      <c r="C576" s="60"/>
    </row>
    <row r="577">
      <c r="B577" s="60"/>
      <c r="C577" s="60"/>
    </row>
    <row r="578">
      <c r="B578" s="60"/>
      <c r="C578" s="60"/>
    </row>
    <row r="579">
      <c r="B579" s="60"/>
      <c r="C579" s="60"/>
    </row>
    <row r="580">
      <c r="B580" s="60"/>
      <c r="C580" s="60"/>
    </row>
    <row r="581">
      <c r="B581" s="60"/>
      <c r="C581" s="60"/>
    </row>
    <row r="582">
      <c r="B582" s="60"/>
      <c r="C582" s="60"/>
    </row>
    <row r="583">
      <c r="B583" s="60"/>
      <c r="C583" s="60"/>
    </row>
    <row r="584">
      <c r="B584" s="60"/>
      <c r="C584" s="60"/>
    </row>
    <row r="585">
      <c r="B585" s="60"/>
      <c r="C585" s="60"/>
    </row>
    <row r="586">
      <c r="B586" s="60"/>
      <c r="C586" s="60"/>
    </row>
    <row r="587">
      <c r="B587" s="60"/>
      <c r="C587" s="60"/>
    </row>
    <row r="588">
      <c r="B588" s="60"/>
      <c r="C588" s="60"/>
    </row>
    <row r="589">
      <c r="B589" s="60"/>
      <c r="C589" s="60"/>
    </row>
    <row r="590">
      <c r="B590" s="60"/>
      <c r="C590" s="60"/>
    </row>
    <row r="591">
      <c r="B591" s="60"/>
      <c r="C591" s="60"/>
    </row>
    <row r="592">
      <c r="B592" s="60"/>
      <c r="C592" s="60"/>
    </row>
    <row r="593">
      <c r="B593" s="60"/>
      <c r="C593" s="60"/>
    </row>
    <row r="594">
      <c r="B594" s="60"/>
      <c r="C594" s="60"/>
    </row>
    <row r="595">
      <c r="B595" s="60"/>
      <c r="C595" s="60"/>
    </row>
    <row r="596">
      <c r="B596" s="60"/>
      <c r="C596" s="60"/>
    </row>
    <row r="597">
      <c r="B597" s="60"/>
      <c r="C597" s="60"/>
    </row>
    <row r="598">
      <c r="B598" s="60"/>
      <c r="C598" s="60"/>
    </row>
    <row r="599">
      <c r="B599" s="60"/>
      <c r="C599" s="60"/>
    </row>
    <row r="600">
      <c r="B600" s="60"/>
      <c r="C600" s="60"/>
    </row>
    <row r="601">
      <c r="B601" s="60"/>
      <c r="C601" s="60"/>
    </row>
    <row r="602">
      <c r="B602" s="60"/>
      <c r="C602" s="60"/>
    </row>
    <row r="603">
      <c r="B603" s="60"/>
      <c r="C603" s="60"/>
    </row>
    <row r="604">
      <c r="B604" s="60"/>
      <c r="C604" s="60"/>
    </row>
    <row r="605">
      <c r="B605" s="60"/>
      <c r="C605" s="60"/>
    </row>
    <row r="606">
      <c r="B606" s="60"/>
      <c r="C606" s="60"/>
    </row>
    <row r="607">
      <c r="B607" s="60"/>
      <c r="C607" s="60"/>
    </row>
    <row r="608">
      <c r="B608" s="60"/>
      <c r="C608" s="60"/>
    </row>
    <row r="609">
      <c r="B609" s="60"/>
      <c r="C609" s="60"/>
    </row>
    <row r="610">
      <c r="B610" s="60"/>
      <c r="C610" s="60"/>
    </row>
    <row r="611">
      <c r="B611" s="60"/>
      <c r="C611" s="60"/>
    </row>
    <row r="612">
      <c r="B612" s="60"/>
      <c r="C612" s="60"/>
    </row>
    <row r="613">
      <c r="B613" s="60"/>
      <c r="C613" s="60"/>
    </row>
    <row r="614">
      <c r="B614" s="60"/>
      <c r="C614" s="60"/>
    </row>
    <row r="615">
      <c r="B615" s="60"/>
      <c r="C615" s="60"/>
    </row>
    <row r="616">
      <c r="B616" s="60"/>
      <c r="C616" s="60"/>
    </row>
    <row r="617">
      <c r="B617" s="60"/>
      <c r="C617" s="60"/>
    </row>
    <row r="618">
      <c r="B618" s="60"/>
      <c r="C618" s="60"/>
    </row>
    <row r="619">
      <c r="B619" s="60"/>
      <c r="C619" s="60"/>
    </row>
    <row r="620">
      <c r="B620" s="60"/>
      <c r="C620" s="60"/>
    </row>
    <row r="621">
      <c r="B621" s="60"/>
      <c r="C621" s="60"/>
    </row>
    <row r="622">
      <c r="B622" s="60"/>
      <c r="C622" s="60"/>
    </row>
    <row r="623">
      <c r="B623" s="60"/>
      <c r="C623" s="60"/>
    </row>
    <row r="624">
      <c r="B624" s="60"/>
      <c r="C624" s="60"/>
    </row>
    <row r="625">
      <c r="B625" s="60"/>
      <c r="C625" s="60"/>
    </row>
    <row r="626">
      <c r="B626" s="60"/>
      <c r="C626" s="60"/>
    </row>
    <row r="627">
      <c r="B627" s="60"/>
      <c r="C627" s="60"/>
    </row>
    <row r="628">
      <c r="B628" s="60"/>
      <c r="C628" s="60"/>
    </row>
    <row r="629">
      <c r="B629" s="60"/>
      <c r="C629" s="60"/>
    </row>
    <row r="630">
      <c r="B630" s="60"/>
      <c r="C630" s="60"/>
    </row>
    <row r="631">
      <c r="B631" s="60"/>
      <c r="C631" s="60"/>
    </row>
    <row r="632">
      <c r="B632" s="60"/>
      <c r="C632" s="60"/>
    </row>
    <row r="633">
      <c r="B633" s="60"/>
      <c r="C633" s="60"/>
    </row>
    <row r="634">
      <c r="B634" s="60"/>
      <c r="C634" s="60"/>
    </row>
    <row r="635">
      <c r="B635" s="60"/>
      <c r="C635" s="60"/>
    </row>
    <row r="636">
      <c r="B636" s="60"/>
      <c r="C636" s="60"/>
    </row>
    <row r="637">
      <c r="B637" s="60"/>
      <c r="C637" s="60"/>
    </row>
    <row r="638">
      <c r="B638" s="60"/>
      <c r="C638" s="60"/>
    </row>
    <row r="639">
      <c r="B639" s="60"/>
      <c r="C639" s="60"/>
    </row>
    <row r="640">
      <c r="B640" s="60"/>
      <c r="C640" s="60"/>
    </row>
    <row r="641">
      <c r="B641" s="60"/>
      <c r="C641" s="60"/>
    </row>
    <row r="642">
      <c r="B642" s="60"/>
      <c r="C642" s="60"/>
    </row>
    <row r="643">
      <c r="B643" s="60"/>
      <c r="C643" s="60"/>
    </row>
    <row r="644">
      <c r="B644" s="60"/>
      <c r="C644" s="60"/>
    </row>
    <row r="645">
      <c r="B645" s="60"/>
      <c r="C645" s="60"/>
    </row>
    <row r="646">
      <c r="B646" s="60"/>
      <c r="C646" s="60"/>
    </row>
    <row r="647">
      <c r="B647" s="60"/>
      <c r="C647" s="60"/>
    </row>
    <row r="648">
      <c r="B648" s="60"/>
      <c r="C648" s="60"/>
    </row>
    <row r="649">
      <c r="B649" s="60"/>
      <c r="C649" s="60"/>
    </row>
    <row r="650">
      <c r="B650" s="60"/>
      <c r="C650" s="60"/>
    </row>
    <row r="651">
      <c r="B651" s="60"/>
      <c r="C651" s="60"/>
    </row>
    <row r="652">
      <c r="B652" s="60"/>
      <c r="C652" s="60"/>
    </row>
    <row r="653">
      <c r="B653" s="60"/>
      <c r="C653" s="60"/>
    </row>
    <row r="654">
      <c r="B654" s="60"/>
      <c r="C654" s="60"/>
    </row>
    <row r="655">
      <c r="B655" s="60"/>
      <c r="C655" s="60"/>
    </row>
    <row r="656">
      <c r="B656" s="60"/>
      <c r="C656" s="60"/>
    </row>
    <row r="657">
      <c r="B657" s="60"/>
      <c r="C657" s="60"/>
    </row>
    <row r="658">
      <c r="B658" s="60"/>
      <c r="C658" s="60"/>
    </row>
    <row r="659">
      <c r="B659" s="60"/>
      <c r="C659" s="60"/>
    </row>
    <row r="660">
      <c r="B660" s="60"/>
      <c r="C660" s="60"/>
    </row>
    <row r="661">
      <c r="B661" s="60"/>
      <c r="C661" s="60"/>
    </row>
    <row r="662">
      <c r="B662" s="60"/>
      <c r="C662" s="60"/>
    </row>
    <row r="663">
      <c r="B663" s="60"/>
      <c r="C663" s="60"/>
    </row>
    <row r="664">
      <c r="B664" s="60"/>
      <c r="C664" s="60"/>
    </row>
    <row r="665">
      <c r="B665" s="60"/>
      <c r="C665" s="60"/>
    </row>
    <row r="666">
      <c r="B666" s="60"/>
      <c r="C666" s="60"/>
    </row>
    <row r="667">
      <c r="B667" s="60"/>
      <c r="C667" s="60"/>
    </row>
    <row r="668">
      <c r="B668" s="60"/>
      <c r="C668" s="60"/>
    </row>
    <row r="669">
      <c r="B669" s="60"/>
      <c r="C669" s="60"/>
    </row>
    <row r="670">
      <c r="B670" s="60"/>
      <c r="C670" s="60"/>
    </row>
    <row r="671">
      <c r="B671" s="60"/>
      <c r="C671" s="60"/>
    </row>
    <row r="672">
      <c r="B672" s="60"/>
      <c r="C672" s="60"/>
    </row>
    <row r="673">
      <c r="B673" s="60"/>
      <c r="C673" s="60"/>
    </row>
    <row r="674">
      <c r="B674" s="60"/>
      <c r="C674" s="60"/>
    </row>
    <row r="675">
      <c r="B675" s="60"/>
      <c r="C675" s="60"/>
    </row>
    <row r="676">
      <c r="B676" s="60"/>
      <c r="C676" s="60"/>
    </row>
    <row r="677">
      <c r="B677" s="60"/>
      <c r="C677" s="60"/>
    </row>
    <row r="678">
      <c r="B678" s="60"/>
      <c r="C678" s="60"/>
    </row>
    <row r="679">
      <c r="B679" s="60"/>
      <c r="C679" s="60"/>
    </row>
    <row r="680">
      <c r="B680" s="60"/>
      <c r="C680" s="60"/>
    </row>
    <row r="681">
      <c r="B681" s="60"/>
      <c r="C681" s="60"/>
    </row>
    <row r="682">
      <c r="B682" s="60"/>
      <c r="C682" s="60"/>
    </row>
    <row r="683">
      <c r="B683" s="60"/>
      <c r="C683" s="60"/>
    </row>
    <row r="684">
      <c r="B684" s="60"/>
      <c r="C684" s="60"/>
    </row>
    <row r="685">
      <c r="B685" s="60"/>
      <c r="C685" s="60"/>
    </row>
    <row r="686">
      <c r="B686" s="60"/>
      <c r="C686" s="60"/>
    </row>
    <row r="687">
      <c r="B687" s="60"/>
      <c r="C687" s="60"/>
    </row>
    <row r="688">
      <c r="B688" s="60"/>
      <c r="C688" s="60"/>
    </row>
    <row r="689">
      <c r="B689" s="60"/>
      <c r="C689" s="60"/>
    </row>
    <row r="690">
      <c r="B690" s="60"/>
      <c r="C690" s="60"/>
    </row>
    <row r="691">
      <c r="B691" s="60"/>
      <c r="C691" s="60"/>
    </row>
    <row r="692">
      <c r="B692" s="60"/>
      <c r="C692" s="60"/>
    </row>
    <row r="693">
      <c r="B693" s="60"/>
      <c r="C693" s="60"/>
    </row>
    <row r="694">
      <c r="B694" s="60"/>
      <c r="C694" s="60"/>
    </row>
    <row r="695">
      <c r="B695" s="60"/>
      <c r="C695" s="60"/>
    </row>
    <row r="696">
      <c r="B696" s="60"/>
      <c r="C696" s="60"/>
    </row>
    <row r="697">
      <c r="B697" s="60"/>
      <c r="C697" s="60"/>
    </row>
    <row r="698">
      <c r="B698" s="60"/>
      <c r="C698" s="60"/>
    </row>
    <row r="699">
      <c r="B699" s="60"/>
      <c r="C699" s="60"/>
    </row>
    <row r="700">
      <c r="B700" s="60"/>
      <c r="C700" s="60"/>
    </row>
    <row r="701">
      <c r="B701" s="60"/>
      <c r="C701" s="60"/>
    </row>
    <row r="702">
      <c r="B702" s="60"/>
      <c r="C702" s="60"/>
    </row>
    <row r="703">
      <c r="B703" s="60"/>
      <c r="C703" s="60"/>
    </row>
    <row r="704">
      <c r="B704" s="60"/>
      <c r="C704" s="60"/>
    </row>
    <row r="705">
      <c r="B705" s="60"/>
      <c r="C705" s="60"/>
    </row>
    <row r="706">
      <c r="B706" s="60"/>
      <c r="C706" s="60"/>
    </row>
    <row r="707">
      <c r="B707" s="60"/>
      <c r="C707" s="60"/>
    </row>
    <row r="708">
      <c r="B708" s="60"/>
      <c r="C708" s="60"/>
    </row>
    <row r="709">
      <c r="B709" s="60"/>
      <c r="C709" s="60"/>
    </row>
    <row r="710">
      <c r="B710" s="60"/>
      <c r="C710" s="60"/>
    </row>
    <row r="711">
      <c r="B711" s="60"/>
      <c r="C711" s="60"/>
    </row>
    <row r="712">
      <c r="B712" s="60"/>
      <c r="C712" s="60"/>
    </row>
    <row r="713">
      <c r="B713" s="60"/>
      <c r="C713" s="60"/>
    </row>
    <row r="714">
      <c r="B714" s="60"/>
      <c r="C714" s="60"/>
    </row>
    <row r="715">
      <c r="B715" s="60"/>
      <c r="C715" s="60"/>
    </row>
    <row r="716">
      <c r="B716" s="60"/>
      <c r="C716" s="60"/>
    </row>
    <row r="717">
      <c r="B717" s="60"/>
      <c r="C717" s="60"/>
    </row>
    <row r="718">
      <c r="B718" s="60"/>
      <c r="C718" s="60"/>
    </row>
    <row r="719">
      <c r="B719" s="60"/>
      <c r="C719" s="60"/>
    </row>
    <row r="720">
      <c r="B720" s="60"/>
      <c r="C720" s="60"/>
    </row>
    <row r="721">
      <c r="B721" s="60"/>
      <c r="C721" s="60"/>
    </row>
    <row r="722">
      <c r="B722" s="60"/>
      <c r="C722" s="60"/>
    </row>
    <row r="723">
      <c r="B723" s="60"/>
      <c r="C723" s="60"/>
    </row>
    <row r="724">
      <c r="B724" s="60"/>
      <c r="C724" s="60"/>
    </row>
    <row r="725">
      <c r="B725" s="60"/>
      <c r="C725" s="60"/>
    </row>
    <row r="726">
      <c r="B726" s="60"/>
      <c r="C726" s="60"/>
    </row>
    <row r="727">
      <c r="B727" s="60"/>
      <c r="C727" s="60"/>
    </row>
    <row r="728">
      <c r="B728" s="60"/>
      <c r="C728" s="60"/>
    </row>
    <row r="729">
      <c r="B729" s="60"/>
      <c r="C729" s="60"/>
    </row>
    <row r="730">
      <c r="B730" s="60"/>
      <c r="C730" s="60"/>
    </row>
    <row r="731">
      <c r="B731" s="60"/>
      <c r="C731" s="60"/>
    </row>
    <row r="732">
      <c r="B732" s="60"/>
      <c r="C732" s="60"/>
    </row>
    <row r="733">
      <c r="B733" s="60"/>
      <c r="C733" s="60"/>
    </row>
    <row r="734">
      <c r="B734" s="60"/>
      <c r="C734" s="60"/>
    </row>
    <row r="735">
      <c r="B735" s="60"/>
      <c r="C735" s="60"/>
    </row>
    <row r="736">
      <c r="B736" s="60"/>
      <c r="C736" s="60"/>
    </row>
    <row r="737">
      <c r="B737" s="60"/>
      <c r="C737" s="60"/>
    </row>
    <row r="738">
      <c r="B738" s="60"/>
      <c r="C738" s="60"/>
    </row>
    <row r="739">
      <c r="B739" s="60"/>
      <c r="C739" s="60"/>
    </row>
    <row r="740">
      <c r="B740" s="60"/>
      <c r="C740" s="60"/>
    </row>
    <row r="741">
      <c r="B741" s="60"/>
      <c r="C741" s="60"/>
    </row>
    <row r="742">
      <c r="B742" s="60"/>
      <c r="C742" s="60"/>
    </row>
    <row r="743">
      <c r="B743" s="60"/>
      <c r="C743" s="60"/>
    </row>
    <row r="744">
      <c r="B744" s="60"/>
      <c r="C744" s="60"/>
    </row>
    <row r="745">
      <c r="B745" s="60"/>
      <c r="C745" s="60"/>
    </row>
    <row r="746">
      <c r="B746" s="60"/>
      <c r="C746" s="60"/>
    </row>
    <row r="747">
      <c r="B747" s="60"/>
      <c r="C747" s="60"/>
    </row>
    <row r="748">
      <c r="B748" s="60"/>
      <c r="C748" s="60"/>
    </row>
    <row r="749">
      <c r="B749" s="60"/>
      <c r="C749" s="60"/>
    </row>
    <row r="750">
      <c r="B750" s="60"/>
      <c r="C750" s="60"/>
    </row>
    <row r="751">
      <c r="B751" s="60"/>
      <c r="C751" s="60"/>
    </row>
    <row r="752">
      <c r="B752" s="60"/>
      <c r="C752" s="60"/>
    </row>
    <row r="753">
      <c r="B753" s="60"/>
      <c r="C753" s="60"/>
    </row>
    <row r="754">
      <c r="B754" s="60"/>
      <c r="C754" s="60"/>
    </row>
    <row r="755">
      <c r="B755" s="60"/>
      <c r="C755" s="60"/>
    </row>
    <row r="756">
      <c r="B756" s="60"/>
      <c r="C756" s="60"/>
    </row>
    <row r="757">
      <c r="B757" s="60"/>
      <c r="C757" s="60"/>
    </row>
    <row r="758">
      <c r="B758" s="60"/>
      <c r="C758" s="60"/>
    </row>
    <row r="759">
      <c r="B759" s="60"/>
      <c r="C759" s="60"/>
    </row>
    <row r="760">
      <c r="B760" s="60"/>
      <c r="C760" s="60"/>
    </row>
    <row r="761">
      <c r="B761" s="60"/>
      <c r="C761" s="60"/>
    </row>
    <row r="762">
      <c r="B762" s="60"/>
      <c r="C762" s="60"/>
    </row>
    <row r="763">
      <c r="B763" s="60"/>
      <c r="C763" s="60"/>
    </row>
    <row r="764">
      <c r="B764" s="60"/>
      <c r="C764" s="60"/>
    </row>
    <row r="765">
      <c r="B765" s="60"/>
      <c r="C765" s="60"/>
    </row>
    <row r="766">
      <c r="B766" s="60"/>
      <c r="C766" s="60"/>
    </row>
    <row r="767">
      <c r="B767" s="60"/>
      <c r="C767" s="60"/>
    </row>
    <row r="768">
      <c r="B768" s="60"/>
      <c r="C768" s="60"/>
    </row>
    <row r="769">
      <c r="B769" s="60"/>
      <c r="C769" s="60"/>
    </row>
    <row r="770">
      <c r="B770" s="60"/>
      <c r="C770" s="60"/>
    </row>
    <row r="771">
      <c r="B771" s="60"/>
      <c r="C771" s="60"/>
    </row>
    <row r="772">
      <c r="B772" s="60"/>
      <c r="C772" s="60"/>
    </row>
    <row r="773">
      <c r="B773" s="60"/>
      <c r="C773" s="60"/>
    </row>
    <row r="774">
      <c r="B774" s="60"/>
      <c r="C774" s="60"/>
    </row>
    <row r="775">
      <c r="B775" s="60"/>
      <c r="C775" s="60"/>
    </row>
    <row r="776">
      <c r="B776" s="60"/>
      <c r="C776" s="60"/>
    </row>
    <row r="777">
      <c r="B777" s="60"/>
      <c r="C777" s="60"/>
    </row>
    <row r="778">
      <c r="B778" s="60"/>
      <c r="C778" s="60"/>
    </row>
    <row r="779">
      <c r="B779" s="60"/>
      <c r="C779" s="60"/>
    </row>
    <row r="780">
      <c r="B780" s="60"/>
      <c r="C780" s="60"/>
    </row>
    <row r="781">
      <c r="B781" s="60"/>
      <c r="C781" s="60"/>
    </row>
    <row r="782">
      <c r="B782" s="60"/>
      <c r="C782" s="60"/>
    </row>
    <row r="783">
      <c r="B783" s="60"/>
      <c r="C783" s="60"/>
    </row>
    <row r="784">
      <c r="B784" s="60"/>
      <c r="C784" s="60"/>
    </row>
    <row r="785">
      <c r="B785" s="60"/>
      <c r="C785" s="60"/>
    </row>
    <row r="786">
      <c r="B786" s="60"/>
      <c r="C786" s="60"/>
    </row>
    <row r="787">
      <c r="B787" s="60"/>
      <c r="C787" s="60"/>
    </row>
    <row r="788">
      <c r="B788" s="60"/>
      <c r="C788" s="60"/>
    </row>
    <row r="789">
      <c r="B789" s="60"/>
      <c r="C789" s="60"/>
    </row>
    <row r="790">
      <c r="B790" s="60"/>
      <c r="C790" s="60"/>
    </row>
    <row r="791">
      <c r="B791" s="60"/>
      <c r="C791" s="60"/>
    </row>
    <row r="792">
      <c r="B792" s="60"/>
      <c r="C792" s="60"/>
    </row>
    <row r="793">
      <c r="B793" s="60"/>
      <c r="C793" s="60"/>
    </row>
    <row r="794">
      <c r="B794" s="60"/>
      <c r="C794" s="60"/>
    </row>
    <row r="795">
      <c r="B795" s="60"/>
      <c r="C795" s="60"/>
    </row>
    <row r="796">
      <c r="B796" s="60"/>
      <c r="C796" s="60"/>
    </row>
    <row r="797">
      <c r="B797" s="60"/>
      <c r="C797" s="60"/>
    </row>
    <row r="798">
      <c r="B798" s="60"/>
      <c r="C798" s="60"/>
    </row>
    <row r="799">
      <c r="B799" s="60"/>
      <c r="C799" s="60"/>
    </row>
    <row r="800">
      <c r="B800" s="60"/>
      <c r="C800" s="60"/>
    </row>
    <row r="801">
      <c r="B801" s="60"/>
      <c r="C801" s="60"/>
    </row>
    <row r="802">
      <c r="B802" s="60"/>
      <c r="C802" s="60"/>
    </row>
    <row r="803">
      <c r="B803" s="60"/>
      <c r="C803" s="60"/>
    </row>
    <row r="804">
      <c r="B804" s="60"/>
      <c r="C804" s="60"/>
    </row>
    <row r="805">
      <c r="B805" s="60"/>
      <c r="C805" s="60"/>
    </row>
    <row r="806">
      <c r="B806" s="60"/>
      <c r="C806" s="60"/>
    </row>
    <row r="807">
      <c r="B807" s="60"/>
      <c r="C807" s="60"/>
    </row>
    <row r="808">
      <c r="B808" s="60"/>
      <c r="C808" s="60"/>
    </row>
    <row r="809">
      <c r="B809" s="60"/>
      <c r="C809" s="60"/>
    </row>
    <row r="810">
      <c r="B810" s="60"/>
      <c r="C810" s="60"/>
    </row>
    <row r="811">
      <c r="B811" s="60"/>
      <c r="C811" s="60"/>
    </row>
    <row r="812">
      <c r="B812" s="60"/>
      <c r="C812" s="60"/>
    </row>
    <row r="813">
      <c r="B813" s="60"/>
      <c r="C813" s="60"/>
    </row>
    <row r="814">
      <c r="B814" s="60"/>
      <c r="C814" s="60"/>
    </row>
    <row r="815">
      <c r="B815" s="60"/>
      <c r="C815" s="60"/>
    </row>
    <row r="816">
      <c r="B816" s="60"/>
      <c r="C816" s="60"/>
    </row>
    <row r="817">
      <c r="B817" s="60"/>
      <c r="C817" s="60"/>
    </row>
    <row r="818">
      <c r="B818" s="60"/>
      <c r="C818" s="60"/>
    </row>
    <row r="819">
      <c r="B819" s="60"/>
      <c r="C819" s="60"/>
    </row>
    <row r="820">
      <c r="B820" s="60"/>
      <c r="C820" s="60"/>
    </row>
    <row r="821">
      <c r="B821" s="60"/>
      <c r="C821" s="60"/>
    </row>
    <row r="822">
      <c r="B822" s="60"/>
      <c r="C822" s="60"/>
    </row>
    <row r="823">
      <c r="B823" s="60"/>
      <c r="C823" s="60"/>
    </row>
    <row r="824">
      <c r="B824" s="60"/>
      <c r="C824" s="60"/>
    </row>
    <row r="825">
      <c r="B825" s="60"/>
      <c r="C825" s="60"/>
    </row>
    <row r="826">
      <c r="B826" s="60"/>
      <c r="C826" s="60"/>
    </row>
    <row r="827">
      <c r="B827" s="60"/>
      <c r="C827" s="60"/>
    </row>
    <row r="828">
      <c r="B828" s="60"/>
      <c r="C828" s="60"/>
    </row>
    <row r="829">
      <c r="B829" s="60"/>
      <c r="C829" s="60"/>
    </row>
    <row r="830">
      <c r="B830" s="60"/>
      <c r="C830" s="60"/>
    </row>
    <row r="831">
      <c r="B831" s="60"/>
      <c r="C831" s="60"/>
    </row>
    <row r="832">
      <c r="B832" s="60"/>
      <c r="C832" s="60"/>
    </row>
    <row r="833">
      <c r="B833" s="60"/>
      <c r="C833" s="60"/>
    </row>
    <row r="834">
      <c r="B834" s="60"/>
      <c r="C834" s="60"/>
    </row>
    <row r="835">
      <c r="B835" s="60"/>
      <c r="C835" s="60"/>
    </row>
    <row r="836">
      <c r="B836" s="60"/>
      <c r="C836" s="60"/>
    </row>
    <row r="837">
      <c r="B837" s="60"/>
      <c r="C837" s="60"/>
    </row>
    <row r="838">
      <c r="B838" s="60"/>
      <c r="C838" s="60"/>
    </row>
    <row r="839">
      <c r="B839" s="60"/>
      <c r="C839" s="60"/>
    </row>
    <row r="840">
      <c r="B840" s="60"/>
      <c r="C840" s="60"/>
    </row>
    <row r="841">
      <c r="B841" s="60"/>
      <c r="C841" s="60"/>
    </row>
    <row r="842">
      <c r="B842" s="60"/>
      <c r="C842" s="60"/>
    </row>
    <row r="843">
      <c r="B843" s="60"/>
      <c r="C843" s="60"/>
    </row>
    <row r="844">
      <c r="B844" s="60"/>
      <c r="C844" s="60"/>
    </row>
    <row r="845">
      <c r="B845" s="60"/>
      <c r="C845" s="60"/>
    </row>
    <row r="846">
      <c r="B846" s="60"/>
      <c r="C846" s="60"/>
    </row>
    <row r="847">
      <c r="B847" s="60"/>
      <c r="C847" s="60"/>
    </row>
    <row r="848">
      <c r="B848" s="60"/>
      <c r="C848" s="60"/>
    </row>
    <row r="849">
      <c r="B849" s="60"/>
      <c r="C849" s="60"/>
    </row>
    <row r="850">
      <c r="B850" s="60"/>
      <c r="C850" s="60"/>
    </row>
    <row r="851">
      <c r="B851" s="60"/>
      <c r="C851" s="60"/>
    </row>
    <row r="852">
      <c r="B852" s="60"/>
      <c r="C852" s="60"/>
    </row>
    <row r="853">
      <c r="B853" s="60"/>
      <c r="C853" s="60"/>
    </row>
    <row r="854">
      <c r="B854" s="60"/>
      <c r="C854" s="60"/>
    </row>
    <row r="855">
      <c r="B855" s="60"/>
      <c r="C855" s="60"/>
    </row>
    <row r="856">
      <c r="B856" s="60"/>
      <c r="C856" s="60"/>
    </row>
    <row r="857">
      <c r="B857" s="60"/>
      <c r="C857" s="60"/>
    </row>
    <row r="858">
      <c r="B858" s="60"/>
      <c r="C858" s="60"/>
    </row>
    <row r="859">
      <c r="B859" s="60"/>
      <c r="C859" s="60"/>
    </row>
    <row r="860">
      <c r="B860" s="60"/>
      <c r="C860" s="60"/>
    </row>
    <row r="861">
      <c r="B861" s="60"/>
      <c r="C861" s="60"/>
    </row>
    <row r="862">
      <c r="B862" s="60"/>
      <c r="C862" s="60"/>
    </row>
    <row r="863">
      <c r="B863" s="60"/>
      <c r="C863" s="60"/>
    </row>
    <row r="864">
      <c r="B864" s="60"/>
      <c r="C864" s="60"/>
    </row>
    <row r="865">
      <c r="B865" s="60"/>
      <c r="C865" s="60"/>
    </row>
    <row r="866">
      <c r="B866" s="60"/>
      <c r="C866" s="60"/>
    </row>
    <row r="867">
      <c r="B867" s="60"/>
      <c r="C867" s="60"/>
    </row>
    <row r="868">
      <c r="B868" s="60"/>
      <c r="C868" s="60"/>
    </row>
    <row r="869">
      <c r="B869" s="60"/>
      <c r="C869" s="60"/>
    </row>
    <row r="870">
      <c r="B870" s="60"/>
      <c r="C870" s="60"/>
    </row>
    <row r="871">
      <c r="B871" s="60"/>
      <c r="C871" s="60"/>
    </row>
    <row r="872">
      <c r="B872" s="60"/>
      <c r="C872" s="60"/>
    </row>
    <row r="873">
      <c r="B873" s="60"/>
      <c r="C873" s="60"/>
    </row>
    <row r="874">
      <c r="B874" s="60"/>
      <c r="C874" s="60"/>
    </row>
    <row r="875">
      <c r="B875" s="60"/>
      <c r="C875" s="60"/>
    </row>
    <row r="876">
      <c r="B876" s="60"/>
      <c r="C876" s="60"/>
    </row>
    <row r="877">
      <c r="B877" s="60"/>
      <c r="C877" s="60"/>
    </row>
    <row r="878">
      <c r="B878" s="60"/>
      <c r="C878" s="60"/>
    </row>
    <row r="879">
      <c r="B879" s="60"/>
      <c r="C879" s="60"/>
    </row>
    <row r="880">
      <c r="B880" s="60"/>
      <c r="C880" s="60"/>
    </row>
    <row r="881">
      <c r="B881" s="60"/>
      <c r="C881" s="60"/>
    </row>
    <row r="882">
      <c r="B882" s="60"/>
      <c r="C882" s="60"/>
    </row>
    <row r="883">
      <c r="B883" s="60"/>
      <c r="C883" s="60"/>
    </row>
    <row r="884">
      <c r="B884" s="60"/>
      <c r="C884" s="60"/>
    </row>
    <row r="885">
      <c r="B885" s="60"/>
      <c r="C885" s="60"/>
    </row>
    <row r="886">
      <c r="B886" s="60"/>
      <c r="C886" s="60"/>
    </row>
    <row r="887">
      <c r="B887" s="60"/>
      <c r="C887" s="60"/>
    </row>
    <row r="888">
      <c r="B888" s="60"/>
      <c r="C888" s="60"/>
    </row>
    <row r="889">
      <c r="B889" s="60"/>
      <c r="C889" s="60"/>
    </row>
    <row r="890">
      <c r="B890" s="60"/>
      <c r="C890" s="60"/>
    </row>
    <row r="891">
      <c r="B891" s="60"/>
      <c r="C891" s="60"/>
    </row>
    <row r="892">
      <c r="B892" s="60"/>
      <c r="C892" s="60"/>
    </row>
    <row r="893">
      <c r="B893" s="60"/>
      <c r="C893" s="60"/>
    </row>
    <row r="894">
      <c r="B894" s="60"/>
      <c r="C894" s="60"/>
    </row>
    <row r="895">
      <c r="B895" s="60"/>
      <c r="C895" s="60"/>
    </row>
    <row r="896">
      <c r="B896" s="60"/>
      <c r="C896" s="60"/>
    </row>
    <row r="897">
      <c r="B897" s="60"/>
      <c r="C897" s="60"/>
    </row>
    <row r="898">
      <c r="B898" s="60"/>
      <c r="C898" s="60"/>
    </row>
    <row r="899">
      <c r="B899" s="60"/>
      <c r="C899" s="60"/>
    </row>
    <row r="900">
      <c r="B900" s="60"/>
      <c r="C900" s="60"/>
    </row>
    <row r="901">
      <c r="B901" s="60"/>
      <c r="C901" s="60"/>
    </row>
    <row r="902">
      <c r="B902" s="60"/>
      <c r="C902" s="60"/>
    </row>
    <row r="903">
      <c r="B903" s="60"/>
      <c r="C903" s="60"/>
    </row>
    <row r="904">
      <c r="B904" s="60"/>
      <c r="C904" s="60"/>
    </row>
    <row r="905">
      <c r="B905" s="60"/>
      <c r="C905" s="60"/>
    </row>
    <row r="906">
      <c r="B906" s="60"/>
      <c r="C906" s="60"/>
    </row>
    <row r="907">
      <c r="B907" s="60"/>
      <c r="C907" s="60"/>
    </row>
    <row r="908">
      <c r="B908" s="60"/>
      <c r="C908" s="60"/>
    </row>
    <row r="909">
      <c r="B909" s="60"/>
      <c r="C909" s="60"/>
    </row>
    <row r="910">
      <c r="B910" s="60"/>
      <c r="C910" s="60"/>
    </row>
    <row r="911">
      <c r="B911" s="60"/>
      <c r="C911" s="60"/>
    </row>
    <row r="912">
      <c r="B912" s="60"/>
      <c r="C912" s="60"/>
    </row>
    <row r="913">
      <c r="B913" s="60"/>
      <c r="C913" s="60"/>
    </row>
    <row r="914">
      <c r="B914" s="60"/>
      <c r="C914" s="60"/>
    </row>
    <row r="915">
      <c r="B915" s="60"/>
      <c r="C915" s="60"/>
    </row>
    <row r="916">
      <c r="B916" s="60"/>
      <c r="C916" s="60"/>
    </row>
    <row r="917">
      <c r="B917" s="60"/>
      <c r="C917" s="60"/>
    </row>
    <row r="918">
      <c r="B918" s="60"/>
      <c r="C918" s="60"/>
    </row>
    <row r="919">
      <c r="B919" s="60"/>
      <c r="C919" s="60"/>
    </row>
    <row r="920">
      <c r="B920" s="60"/>
      <c r="C920" s="60"/>
    </row>
    <row r="921">
      <c r="B921" s="60"/>
      <c r="C921" s="60"/>
    </row>
    <row r="922">
      <c r="B922" s="60"/>
      <c r="C922" s="60"/>
    </row>
    <row r="923">
      <c r="B923" s="60"/>
      <c r="C923" s="60"/>
    </row>
    <row r="924">
      <c r="B924" s="60"/>
      <c r="C924" s="60"/>
    </row>
    <row r="925">
      <c r="B925" s="60"/>
      <c r="C925" s="60"/>
    </row>
    <row r="926">
      <c r="B926" s="60"/>
      <c r="C926" s="60"/>
    </row>
    <row r="927">
      <c r="B927" s="60"/>
      <c r="C927" s="60"/>
    </row>
    <row r="928">
      <c r="B928" s="60"/>
      <c r="C928" s="60"/>
    </row>
    <row r="929">
      <c r="B929" s="60"/>
      <c r="C929" s="60"/>
    </row>
    <row r="930">
      <c r="B930" s="60"/>
      <c r="C930" s="60"/>
    </row>
    <row r="931">
      <c r="B931" s="60"/>
      <c r="C931" s="60"/>
    </row>
    <row r="932">
      <c r="B932" s="60"/>
      <c r="C932" s="60"/>
    </row>
    <row r="933">
      <c r="B933" s="60"/>
      <c r="C933" s="60"/>
    </row>
    <row r="934">
      <c r="B934" s="60"/>
      <c r="C934" s="60"/>
    </row>
    <row r="935">
      <c r="B935" s="60"/>
      <c r="C935" s="60"/>
    </row>
    <row r="936">
      <c r="B936" s="60"/>
      <c r="C936" s="60"/>
    </row>
    <row r="937">
      <c r="B937" s="60"/>
      <c r="C937" s="60"/>
    </row>
    <row r="938">
      <c r="B938" s="60"/>
      <c r="C938" s="60"/>
    </row>
    <row r="939">
      <c r="B939" s="60"/>
      <c r="C939" s="60"/>
    </row>
    <row r="940">
      <c r="B940" s="60"/>
      <c r="C940" s="60"/>
    </row>
    <row r="941">
      <c r="B941" s="60"/>
      <c r="C941" s="60"/>
    </row>
    <row r="942">
      <c r="B942" s="60"/>
      <c r="C942" s="60"/>
    </row>
    <row r="943">
      <c r="B943" s="60"/>
      <c r="C943" s="60"/>
    </row>
    <row r="944">
      <c r="B944" s="60"/>
      <c r="C944" s="60"/>
    </row>
    <row r="945">
      <c r="B945" s="60"/>
      <c r="C945" s="60"/>
    </row>
    <row r="946">
      <c r="B946" s="60"/>
      <c r="C946" s="60"/>
    </row>
    <row r="947">
      <c r="B947" s="60"/>
      <c r="C947" s="60"/>
    </row>
    <row r="948">
      <c r="B948" s="60"/>
      <c r="C948" s="60"/>
    </row>
    <row r="949">
      <c r="B949" s="60"/>
      <c r="C949" s="60"/>
    </row>
    <row r="950">
      <c r="B950" s="60"/>
      <c r="C950" s="60"/>
    </row>
    <row r="951">
      <c r="B951" s="60"/>
      <c r="C951" s="60"/>
    </row>
    <row r="952">
      <c r="B952" s="60"/>
      <c r="C952" s="60"/>
    </row>
    <row r="953">
      <c r="B953" s="60"/>
      <c r="C953" s="60"/>
    </row>
    <row r="954">
      <c r="B954" s="60"/>
      <c r="C954" s="60"/>
    </row>
    <row r="955">
      <c r="B955" s="60"/>
      <c r="C955" s="60"/>
    </row>
    <row r="956">
      <c r="B956" s="60"/>
      <c r="C956" s="60"/>
    </row>
    <row r="957">
      <c r="B957" s="60"/>
      <c r="C957" s="60"/>
    </row>
    <row r="958">
      <c r="B958" s="60"/>
      <c r="C958" s="60"/>
    </row>
    <row r="959">
      <c r="B959" s="60"/>
      <c r="C959" s="60"/>
    </row>
    <row r="960">
      <c r="B960" s="60"/>
      <c r="C960" s="60"/>
    </row>
    <row r="961">
      <c r="B961" s="60"/>
      <c r="C961" s="60"/>
    </row>
    <row r="962">
      <c r="B962" s="60"/>
      <c r="C962" s="60"/>
    </row>
    <row r="963">
      <c r="B963" s="60"/>
      <c r="C963" s="60"/>
    </row>
    <row r="964">
      <c r="B964" s="60"/>
      <c r="C964" s="60"/>
    </row>
    <row r="965">
      <c r="B965" s="60"/>
      <c r="C965" s="60"/>
    </row>
    <row r="966">
      <c r="B966" s="60"/>
      <c r="C966" s="60"/>
    </row>
    <row r="967">
      <c r="B967" s="60"/>
      <c r="C967" s="60"/>
    </row>
    <row r="968">
      <c r="B968" s="60"/>
      <c r="C968" s="60"/>
    </row>
    <row r="969">
      <c r="B969" s="60"/>
      <c r="C969" s="60"/>
    </row>
    <row r="970">
      <c r="B970" s="60"/>
      <c r="C970" s="60"/>
    </row>
    <row r="971">
      <c r="B971" s="60"/>
      <c r="C971" s="60"/>
    </row>
    <row r="972">
      <c r="B972" s="60"/>
      <c r="C972" s="60"/>
    </row>
    <row r="973">
      <c r="B973" s="60"/>
      <c r="C973" s="60"/>
    </row>
    <row r="974">
      <c r="B974" s="60"/>
      <c r="C974" s="60"/>
    </row>
    <row r="975">
      <c r="B975" s="60"/>
      <c r="C975" s="60"/>
    </row>
    <row r="976">
      <c r="B976" s="60"/>
      <c r="C976" s="60"/>
    </row>
    <row r="977">
      <c r="B977" s="60"/>
      <c r="C977" s="60"/>
    </row>
    <row r="978">
      <c r="B978" s="60"/>
      <c r="C978" s="60"/>
    </row>
    <row r="979">
      <c r="B979" s="60"/>
      <c r="C979" s="60"/>
    </row>
    <row r="980">
      <c r="B980" s="60"/>
      <c r="C980" s="60"/>
    </row>
    <row r="981">
      <c r="B981" s="60"/>
      <c r="C981" s="60"/>
    </row>
    <row r="982">
      <c r="B982" s="60"/>
      <c r="C982" s="60"/>
    </row>
    <row r="983">
      <c r="B983" s="60"/>
      <c r="C983" s="60"/>
    </row>
    <row r="984">
      <c r="B984" s="60"/>
      <c r="C984" s="60"/>
    </row>
    <row r="985">
      <c r="B985" s="60"/>
      <c r="C985" s="60"/>
    </row>
    <row r="986">
      <c r="B986" s="60"/>
      <c r="C986" s="60"/>
    </row>
    <row r="987">
      <c r="B987" s="60"/>
      <c r="C987" s="60"/>
    </row>
    <row r="988">
      <c r="B988" s="60"/>
      <c r="C988" s="60"/>
    </row>
    <row r="989">
      <c r="B989" s="60"/>
      <c r="C989" s="60"/>
    </row>
    <row r="990">
      <c r="B990" s="60"/>
      <c r="C990" s="60"/>
    </row>
    <row r="991">
      <c r="B991" s="60"/>
      <c r="C991" s="60"/>
    </row>
    <row r="992">
      <c r="B992" s="60"/>
      <c r="C992" s="60"/>
    </row>
    <row r="993">
      <c r="B993" s="60"/>
      <c r="C993" s="60"/>
    </row>
    <row r="994">
      <c r="B994" s="60"/>
      <c r="C994" s="60"/>
    </row>
    <row r="995">
      <c r="B995" s="60"/>
      <c r="C995" s="60"/>
    </row>
    <row r="996">
      <c r="B996" s="60"/>
      <c r="C996" s="60"/>
    </row>
    <row r="997">
      <c r="B997" s="60"/>
      <c r="C997" s="60"/>
    </row>
    <row r="998">
      <c r="B998" s="60"/>
      <c r="C998" s="60"/>
    </row>
    <row r="999">
      <c r="B999" s="60"/>
      <c r="C999" s="60"/>
    </row>
    <row r="1000">
      <c r="B1000" s="60"/>
      <c r="C1000" s="60"/>
    </row>
    <row r="1001">
      <c r="B1001" s="60"/>
      <c r="C1001" s="60"/>
    </row>
    <row r="1002">
      <c r="B1002" s="60"/>
      <c r="C1002" s="60"/>
    </row>
    <row r="1003">
      <c r="B1003" s="60"/>
      <c r="C1003" s="6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13.75"/>
    <col customWidth="1" min="5" max="5" width="7.75"/>
    <col customWidth="1" min="7" max="7" width="22.88"/>
    <col customWidth="1" min="9" max="9" width="13.25"/>
    <col customWidth="1" min="10" max="10" width="21.5"/>
    <col customWidth="1" min="11" max="11" width="19.88"/>
    <col customWidth="1" min="12" max="12" width="10.75"/>
    <col customWidth="1" min="13" max="13" width="19.88"/>
    <col customWidth="1" min="14" max="14" width="10.38"/>
    <col customWidth="1" min="15" max="15" width="10.13"/>
    <col customWidth="1" min="16" max="16" width="18.75"/>
    <col customWidth="1" min="17" max="17" width="9.63"/>
  </cols>
  <sheetData>
    <row r="1">
      <c r="A1" s="1"/>
      <c r="B1" s="2" t="s">
        <v>0</v>
      </c>
      <c r="C1" s="3" t="s">
        <v>1</v>
      </c>
      <c r="D1" s="4"/>
      <c r="E1" s="4"/>
      <c r="F1" s="5"/>
      <c r="G1" s="5"/>
      <c r="H1" s="5"/>
      <c r="I1" s="5"/>
      <c r="J1" s="5"/>
      <c r="K1" s="5"/>
      <c r="L1" s="5"/>
      <c r="M1" s="5"/>
      <c r="N1" s="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2"/>
      <c r="C2" s="7" t="s">
        <v>2</v>
      </c>
      <c r="D2" s="4"/>
      <c r="E2" s="4"/>
      <c r="F2" s="5"/>
      <c r="G2" s="5"/>
      <c r="H2" s="5"/>
      <c r="I2" s="5"/>
      <c r="J2" s="5"/>
      <c r="K2" s="5"/>
      <c r="L2" s="5"/>
      <c r="M2" s="5"/>
      <c r="N2" s="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2"/>
      <c r="C3" s="3" t="s">
        <v>3</v>
      </c>
      <c r="D3" s="4"/>
      <c r="E3" s="4"/>
      <c r="F3" s="5"/>
      <c r="G3" s="5"/>
      <c r="H3" s="5"/>
      <c r="I3" s="5"/>
      <c r="J3" s="5"/>
      <c r="K3" s="5"/>
      <c r="L3" s="5"/>
      <c r="M3" s="5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>
      <c r="A4" s="1"/>
      <c r="B4" s="2"/>
      <c r="C4" s="8" t="s">
        <v>4</v>
      </c>
      <c r="D4" s="9"/>
      <c r="E4" s="9"/>
      <c r="F4" s="9"/>
      <c r="G4" s="10"/>
      <c r="H4" s="10"/>
      <c r="I4" s="10"/>
      <c r="J4" s="10"/>
      <c r="K4" s="10"/>
      <c r="L4" s="10"/>
      <c r="M4" s="10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>
      <c r="A5" s="1"/>
      <c r="B5" s="2"/>
      <c r="C5" s="12" t="s">
        <v>5</v>
      </c>
      <c r="D5" s="13"/>
      <c r="E5" s="13"/>
      <c r="F5" s="13"/>
      <c r="G5" s="14"/>
      <c r="H5" s="14"/>
      <c r="I5" s="14"/>
      <c r="J5" s="14"/>
      <c r="K5" s="14"/>
      <c r="L5" s="14"/>
      <c r="M5" s="14"/>
      <c r="N5" s="1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>
      <c r="A6" s="1"/>
      <c r="B6" s="2"/>
      <c r="C6" s="12"/>
      <c r="D6" s="13"/>
      <c r="E6" s="13"/>
      <c r="F6" s="13"/>
      <c r="G6" s="13"/>
      <c r="H6" s="13"/>
      <c r="I6" s="13"/>
      <c r="J6" s="14"/>
      <c r="K6" s="14"/>
      <c r="L6" s="14"/>
      <c r="M6" s="14"/>
      <c r="N6" s="15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>
      <c r="A7" s="1"/>
      <c r="B7" s="2"/>
      <c r="C7" s="16" t="s">
        <v>6</v>
      </c>
      <c r="D7" s="17"/>
      <c r="E7" s="17"/>
      <c r="F7" s="17"/>
      <c r="G7" s="2"/>
      <c r="H7" s="2"/>
      <c r="I7" s="2"/>
      <c r="J7" s="2"/>
      <c r="K7" s="2"/>
      <c r="L7" s="2"/>
      <c r="M7" s="2"/>
      <c r="N7" s="18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>
      <c r="B8" s="19"/>
      <c r="C8" s="20" t="s">
        <v>7</v>
      </c>
      <c r="H8" s="21"/>
      <c r="J8" s="19"/>
      <c r="K8" s="19"/>
      <c r="L8" s="19"/>
      <c r="M8" s="19"/>
      <c r="N8" s="19"/>
      <c r="O8" s="19"/>
    </row>
    <row r="9">
      <c r="B9" s="19"/>
      <c r="C9" s="20" t="s">
        <v>345</v>
      </c>
      <c r="H9" s="21"/>
      <c r="J9" s="19"/>
      <c r="K9" s="19"/>
      <c r="L9" s="19"/>
      <c r="M9" s="19"/>
      <c r="N9" s="19"/>
      <c r="O9" s="19"/>
    </row>
    <row r="10">
      <c r="B10" s="19"/>
      <c r="C10" s="20" t="s">
        <v>346</v>
      </c>
      <c r="H10" s="21"/>
      <c r="J10" s="19"/>
      <c r="K10" s="19"/>
      <c r="L10" s="19"/>
      <c r="M10" s="19"/>
      <c r="N10" s="19"/>
      <c r="O10" s="19"/>
    </row>
    <row r="11">
      <c r="B11" s="19"/>
      <c r="C11" s="22" t="s">
        <v>347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</row>
    <row r="12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>
      <c r="B13" s="23" t="s">
        <v>11</v>
      </c>
      <c r="C13" s="23" t="s">
        <v>348</v>
      </c>
      <c r="D13" s="23" t="s">
        <v>15</v>
      </c>
      <c r="E13" s="23" t="s">
        <v>16</v>
      </c>
      <c r="F13" s="23" t="s">
        <v>17</v>
      </c>
      <c r="G13" s="23" t="s">
        <v>18</v>
      </c>
      <c r="H13" s="23" t="s">
        <v>19</v>
      </c>
      <c r="I13" s="26" t="s">
        <v>349</v>
      </c>
      <c r="J13" s="26" t="s">
        <v>350</v>
      </c>
      <c r="K13" s="26" t="s">
        <v>351</v>
      </c>
      <c r="L13" s="26" t="s">
        <v>23</v>
      </c>
      <c r="M13" s="26" t="s">
        <v>24</v>
      </c>
      <c r="N13" s="26" t="s">
        <v>25</v>
      </c>
      <c r="O13" s="26" t="s">
        <v>23</v>
      </c>
      <c r="P13" s="26" t="s">
        <v>26</v>
      </c>
      <c r="Q13" s="26" t="s">
        <v>25</v>
      </c>
      <c r="R13" s="26" t="s">
        <v>23</v>
      </c>
    </row>
    <row r="14">
      <c r="B14" s="28" t="s">
        <v>352</v>
      </c>
      <c r="C14" s="28" t="s">
        <v>353</v>
      </c>
      <c r="D14" s="316">
        <v>44471.0</v>
      </c>
      <c r="E14" s="317">
        <v>0.875</v>
      </c>
      <c r="F14" s="28" t="s">
        <v>354</v>
      </c>
      <c r="G14" s="28" t="s">
        <v>355</v>
      </c>
      <c r="H14" s="28" t="s">
        <v>356</v>
      </c>
      <c r="L14" s="28"/>
      <c r="N14" s="32"/>
      <c r="O14" s="32"/>
      <c r="P14" s="32"/>
    </row>
    <row r="15">
      <c r="J15" s="28"/>
      <c r="K15" s="28"/>
      <c r="L15" s="28"/>
      <c r="N15" s="32"/>
      <c r="O15" s="32"/>
      <c r="P15" s="32"/>
    </row>
    <row r="16">
      <c r="J16" s="28"/>
      <c r="K16" s="28"/>
      <c r="L16" s="28"/>
      <c r="N16" s="32"/>
      <c r="O16" s="32"/>
      <c r="P16" s="32"/>
    </row>
    <row r="17">
      <c r="J17" s="28"/>
      <c r="K17" s="28"/>
      <c r="L17" s="28"/>
      <c r="N17" s="32"/>
      <c r="O17" s="32"/>
      <c r="P17" s="32"/>
    </row>
    <row r="18">
      <c r="J18" s="28"/>
      <c r="K18" s="28"/>
      <c r="L18" s="28"/>
      <c r="N18" s="32"/>
      <c r="O18" s="32"/>
      <c r="P18" s="32"/>
    </row>
    <row r="19">
      <c r="J19" s="28"/>
      <c r="K19" s="28"/>
      <c r="L19" s="28"/>
      <c r="M19" s="1"/>
      <c r="N19" s="32"/>
      <c r="O19" s="32"/>
      <c r="P19" s="32"/>
    </row>
    <row r="20">
      <c r="J20" s="28"/>
      <c r="K20" s="28"/>
      <c r="L20" s="28"/>
      <c r="M20" s="1"/>
      <c r="N20" s="32"/>
      <c r="O20" s="32"/>
      <c r="P20" s="32"/>
    </row>
    <row r="21">
      <c r="J21" s="28"/>
      <c r="K21" s="28"/>
      <c r="L21" s="28"/>
      <c r="M21" s="1"/>
      <c r="N21" s="32"/>
      <c r="O21" s="32"/>
      <c r="P21" s="32"/>
    </row>
    <row r="22">
      <c r="M22" s="1"/>
      <c r="N22" s="32"/>
      <c r="O22" s="32"/>
      <c r="P22" s="32"/>
    </row>
    <row r="23">
      <c r="M23" s="1"/>
      <c r="N23" s="32"/>
      <c r="O23" s="32"/>
      <c r="P23" s="32"/>
    </row>
    <row r="24">
      <c r="M24" s="1"/>
      <c r="N24" s="32"/>
      <c r="O24" s="32"/>
      <c r="P24" s="32"/>
    </row>
    <row r="25">
      <c r="M25" s="1"/>
      <c r="N25" s="32"/>
      <c r="O25" s="32"/>
      <c r="P25" s="32"/>
    </row>
    <row r="26">
      <c r="M26" s="1"/>
      <c r="N26" s="32"/>
      <c r="O26" s="32"/>
      <c r="P26" s="32"/>
    </row>
    <row r="27">
      <c r="M27" s="1"/>
      <c r="N27" s="32"/>
      <c r="O27" s="32"/>
      <c r="P27" s="32"/>
    </row>
    <row r="28">
      <c r="M28" s="1"/>
      <c r="N28" s="32"/>
      <c r="O28" s="32"/>
      <c r="P28" s="32"/>
    </row>
    <row r="29">
      <c r="M29" s="1"/>
      <c r="N29" s="32"/>
      <c r="O29" s="32"/>
      <c r="P29" s="32"/>
    </row>
    <row r="30">
      <c r="N30" s="32"/>
      <c r="O30" s="32"/>
      <c r="P30" s="32"/>
    </row>
    <row r="31">
      <c r="N31" s="32"/>
      <c r="O31" s="32"/>
      <c r="P31" s="32"/>
    </row>
    <row r="32">
      <c r="N32" s="32"/>
      <c r="O32" s="32"/>
      <c r="P32" s="32"/>
    </row>
    <row r="33">
      <c r="N33" s="32"/>
      <c r="O33" s="32"/>
      <c r="P33" s="32"/>
    </row>
    <row r="34">
      <c r="N34" s="32"/>
      <c r="O34" s="32"/>
      <c r="P34" s="32"/>
    </row>
    <row r="35">
      <c r="N35" s="32"/>
      <c r="O35" s="32"/>
      <c r="P35" s="32"/>
    </row>
    <row r="36">
      <c r="N36" s="32"/>
      <c r="O36" s="32"/>
      <c r="P36" s="32"/>
    </row>
    <row r="37">
      <c r="N37" s="32"/>
      <c r="O37" s="32"/>
      <c r="P37" s="32"/>
    </row>
    <row r="38">
      <c r="N38" s="32"/>
      <c r="O38" s="32"/>
      <c r="P38" s="32"/>
    </row>
    <row r="39">
      <c r="N39" s="32"/>
      <c r="O39" s="32"/>
      <c r="P39" s="32"/>
    </row>
    <row r="40">
      <c r="N40" s="32"/>
      <c r="O40" s="32"/>
      <c r="P40" s="32"/>
    </row>
    <row r="41">
      <c r="N41" s="32"/>
      <c r="O41" s="32"/>
      <c r="P41" s="32"/>
    </row>
    <row r="42">
      <c r="N42" s="32"/>
      <c r="O42" s="32"/>
      <c r="P42" s="32"/>
    </row>
    <row r="43">
      <c r="N43" s="32"/>
      <c r="O43" s="32"/>
      <c r="P43" s="32"/>
    </row>
    <row r="44">
      <c r="N44" s="32"/>
      <c r="O44" s="32"/>
      <c r="P44" s="32"/>
    </row>
    <row r="45">
      <c r="N45" s="32"/>
      <c r="O45" s="32"/>
      <c r="P45" s="32"/>
    </row>
    <row r="46">
      <c r="N46" s="32"/>
      <c r="O46" s="32"/>
      <c r="P46" s="32"/>
    </row>
    <row r="47">
      <c r="N47" s="32"/>
      <c r="O47" s="32"/>
      <c r="P47" s="32"/>
    </row>
    <row r="48">
      <c r="N48" s="32"/>
      <c r="O48" s="32"/>
      <c r="P48" s="32"/>
    </row>
    <row r="49">
      <c r="N49" s="32"/>
      <c r="O49" s="32"/>
      <c r="P49" s="32"/>
    </row>
    <row r="50">
      <c r="N50" s="32"/>
      <c r="O50" s="32"/>
      <c r="P50" s="32"/>
    </row>
    <row r="51">
      <c r="N51" s="32"/>
      <c r="O51" s="32"/>
      <c r="P51" s="32"/>
    </row>
    <row r="52">
      <c r="N52" s="32"/>
      <c r="O52" s="32"/>
      <c r="P52" s="32"/>
    </row>
    <row r="53">
      <c r="N53" s="32"/>
      <c r="O53" s="32"/>
      <c r="P53" s="32"/>
    </row>
    <row r="54">
      <c r="N54" s="32"/>
      <c r="O54" s="32"/>
      <c r="P54" s="32"/>
    </row>
    <row r="55">
      <c r="N55" s="32"/>
      <c r="O55" s="32"/>
      <c r="P55" s="32"/>
    </row>
    <row r="56">
      <c r="N56" s="32"/>
      <c r="O56" s="32"/>
      <c r="P56" s="32"/>
    </row>
    <row r="57">
      <c r="N57" s="32"/>
      <c r="O57" s="32"/>
      <c r="P57" s="32"/>
    </row>
    <row r="58">
      <c r="N58" s="32"/>
      <c r="O58" s="32"/>
      <c r="P58" s="32"/>
    </row>
    <row r="59">
      <c r="N59" s="32"/>
      <c r="O59" s="32"/>
      <c r="P59" s="32"/>
    </row>
    <row r="60">
      <c r="N60" s="32"/>
      <c r="O60" s="32"/>
      <c r="P60" s="32"/>
    </row>
    <row r="61">
      <c r="N61" s="32"/>
      <c r="O61" s="32"/>
      <c r="P61" s="32"/>
    </row>
    <row r="62">
      <c r="N62" s="32"/>
      <c r="O62" s="32"/>
      <c r="P62" s="32"/>
    </row>
    <row r="63">
      <c r="N63" s="32"/>
      <c r="O63" s="32"/>
      <c r="P63" s="32"/>
    </row>
    <row r="64">
      <c r="N64" s="32"/>
      <c r="O64" s="32"/>
      <c r="P64" s="32"/>
    </row>
    <row r="65">
      <c r="N65" s="32"/>
      <c r="O65" s="32"/>
      <c r="P65" s="32"/>
    </row>
    <row r="66">
      <c r="N66" s="32"/>
      <c r="O66" s="32"/>
      <c r="P66" s="32"/>
    </row>
    <row r="67">
      <c r="N67" s="32"/>
      <c r="O67" s="32"/>
      <c r="P67" s="32"/>
    </row>
    <row r="68">
      <c r="N68" s="32"/>
      <c r="O68" s="32"/>
      <c r="P68" s="32"/>
    </row>
    <row r="69">
      <c r="N69" s="32"/>
      <c r="O69" s="32"/>
      <c r="P69" s="32"/>
    </row>
    <row r="70">
      <c r="N70" s="32"/>
      <c r="O70" s="32"/>
      <c r="P70" s="32"/>
    </row>
    <row r="71">
      <c r="N71" s="32"/>
      <c r="O71" s="32"/>
      <c r="P71" s="32"/>
    </row>
    <row r="72">
      <c r="N72" s="32"/>
      <c r="O72" s="32"/>
      <c r="P72" s="32"/>
    </row>
    <row r="73">
      <c r="N73" s="32"/>
      <c r="O73" s="32"/>
      <c r="P73" s="32"/>
    </row>
    <row r="74">
      <c r="N74" s="32"/>
      <c r="O74" s="32"/>
      <c r="P74" s="32"/>
    </row>
    <row r="75">
      <c r="N75" s="32"/>
      <c r="O75" s="32"/>
      <c r="P75" s="32"/>
    </row>
    <row r="76">
      <c r="N76" s="32"/>
      <c r="O76" s="32"/>
      <c r="P76" s="32"/>
    </row>
    <row r="77">
      <c r="N77" s="32"/>
      <c r="O77" s="32"/>
      <c r="P77" s="32"/>
    </row>
    <row r="78">
      <c r="N78" s="32"/>
      <c r="O78" s="32"/>
      <c r="P78" s="32"/>
    </row>
    <row r="79">
      <c r="N79" s="32"/>
      <c r="O79" s="32"/>
      <c r="P79" s="32"/>
    </row>
    <row r="80">
      <c r="N80" s="32"/>
      <c r="O80" s="32"/>
      <c r="P80" s="32"/>
    </row>
    <row r="81">
      <c r="N81" s="32"/>
      <c r="O81" s="32"/>
      <c r="P81" s="32"/>
    </row>
    <row r="82">
      <c r="N82" s="32"/>
      <c r="O82" s="32"/>
      <c r="P82" s="32"/>
    </row>
    <row r="83">
      <c r="N83" s="32"/>
      <c r="O83" s="32"/>
      <c r="P83" s="32"/>
    </row>
    <row r="84">
      <c r="N84" s="32"/>
      <c r="O84" s="32"/>
      <c r="P84" s="32"/>
    </row>
    <row r="85">
      <c r="N85" s="32"/>
      <c r="O85" s="32"/>
      <c r="P85" s="32"/>
    </row>
    <row r="86">
      <c r="N86" s="32"/>
      <c r="O86" s="32"/>
      <c r="P86" s="32"/>
    </row>
    <row r="87">
      <c r="N87" s="32"/>
      <c r="O87" s="32"/>
      <c r="P87" s="32"/>
    </row>
    <row r="88">
      <c r="N88" s="32"/>
      <c r="O88" s="32"/>
      <c r="P88" s="32"/>
    </row>
    <row r="89">
      <c r="N89" s="32"/>
      <c r="O89" s="32"/>
      <c r="P89" s="32"/>
    </row>
    <row r="90">
      <c r="N90" s="32"/>
      <c r="O90" s="32"/>
      <c r="P90" s="32"/>
    </row>
    <row r="91">
      <c r="N91" s="32"/>
      <c r="O91" s="32"/>
      <c r="P91" s="32"/>
    </row>
    <row r="92">
      <c r="N92" s="32"/>
      <c r="O92" s="32"/>
      <c r="P92" s="32"/>
    </row>
    <row r="93">
      <c r="N93" s="32"/>
      <c r="O93" s="32"/>
      <c r="P93" s="32"/>
    </row>
    <row r="94">
      <c r="N94" s="32"/>
      <c r="O94" s="32"/>
      <c r="P94" s="32"/>
    </row>
    <row r="95">
      <c r="N95" s="32"/>
      <c r="O95" s="32"/>
      <c r="P95" s="32"/>
    </row>
    <row r="96">
      <c r="N96" s="32"/>
      <c r="O96" s="32"/>
      <c r="P96" s="32"/>
    </row>
    <row r="97">
      <c r="N97" s="32"/>
      <c r="O97" s="32"/>
      <c r="P97" s="32"/>
    </row>
    <row r="98">
      <c r="N98" s="32"/>
      <c r="O98" s="32"/>
      <c r="P98" s="32"/>
    </row>
    <row r="99">
      <c r="N99" s="32"/>
      <c r="O99" s="32"/>
      <c r="P99" s="32"/>
    </row>
    <row r="100">
      <c r="N100" s="32"/>
      <c r="O100" s="32"/>
      <c r="P100" s="32"/>
    </row>
    <row r="101">
      <c r="N101" s="32"/>
      <c r="O101" s="32"/>
      <c r="P101" s="32"/>
    </row>
    <row r="102">
      <c r="N102" s="32"/>
      <c r="O102" s="32"/>
      <c r="P102" s="32"/>
    </row>
    <row r="103">
      <c r="N103" s="32"/>
      <c r="O103" s="32"/>
      <c r="P103" s="32"/>
    </row>
    <row r="104">
      <c r="N104" s="32"/>
      <c r="O104" s="32"/>
      <c r="P104" s="32"/>
    </row>
    <row r="105">
      <c r="N105" s="32"/>
      <c r="O105" s="32"/>
      <c r="P105" s="32"/>
    </row>
    <row r="106">
      <c r="N106" s="32"/>
      <c r="O106" s="32"/>
      <c r="P106" s="32"/>
    </row>
    <row r="107">
      <c r="N107" s="32"/>
      <c r="O107" s="32"/>
      <c r="P107" s="32"/>
    </row>
    <row r="108">
      <c r="N108" s="32"/>
      <c r="O108" s="32"/>
      <c r="P108" s="32"/>
    </row>
    <row r="109">
      <c r="N109" s="32"/>
      <c r="O109" s="32"/>
      <c r="P109" s="32"/>
    </row>
    <row r="110">
      <c r="N110" s="32"/>
      <c r="O110" s="32"/>
      <c r="P110" s="32"/>
    </row>
    <row r="111">
      <c r="N111" s="32"/>
      <c r="O111" s="32"/>
      <c r="P111" s="32"/>
    </row>
    <row r="112">
      <c r="N112" s="32"/>
      <c r="O112" s="32"/>
      <c r="P112" s="32"/>
    </row>
    <row r="113">
      <c r="N113" s="32"/>
      <c r="O113" s="32"/>
      <c r="P113" s="32"/>
    </row>
    <row r="114">
      <c r="N114" s="32"/>
      <c r="O114" s="32"/>
      <c r="P114" s="32"/>
    </row>
    <row r="115">
      <c r="N115" s="32"/>
      <c r="O115" s="32"/>
      <c r="P115" s="32"/>
    </row>
    <row r="116">
      <c r="N116" s="32"/>
      <c r="O116" s="32"/>
      <c r="P116" s="32"/>
    </row>
    <row r="117">
      <c r="N117" s="32"/>
      <c r="O117" s="32"/>
      <c r="P117" s="32"/>
    </row>
    <row r="118">
      <c r="N118" s="36"/>
      <c r="O118" s="36"/>
      <c r="P118" s="37"/>
    </row>
    <row r="119">
      <c r="N119" s="36"/>
      <c r="O119" s="36"/>
      <c r="P119" s="37"/>
    </row>
    <row r="120">
      <c r="N120" s="36"/>
      <c r="O120" s="36"/>
      <c r="P120" s="37"/>
    </row>
    <row r="121">
      <c r="N121" s="36"/>
      <c r="O121" s="36"/>
      <c r="P121" s="37"/>
    </row>
    <row r="122">
      <c r="N122" s="36"/>
      <c r="O122" s="36"/>
      <c r="P122" s="3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357</v>
      </c>
    </row>
    <row r="2">
      <c r="A2" s="28" t="s">
        <v>358</v>
      </c>
    </row>
    <row r="3">
      <c r="A3" s="28" t="s">
        <v>359</v>
      </c>
    </row>
    <row r="8">
      <c r="A8" s="28" t="s">
        <v>360</v>
      </c>
    </row>
    <row r="9">
      <c r="A9" s="28" t="s">
        <v>361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362</v>
      </c>
      <c r="B1" s="19" t="s">
        <v>363</v>
      </c>
      <c r="C1" s="19" t="s">
        <v>364</v>
      </c>
    </row>
    <row r="2">
      <c r="B2" s="28" t="s">
        <v>365</v>
      </c>
      <c r="C2" s="28" t="s">
        <v>366</v>
      </c>
    </row>
    <row r="3">
      <c r="B3" s="28" t="s">
        <v>367</v>
      </c>
      <c r="C3" s="28" t="s">
        <v>368</v>
      </c>
    </row>
    <row r="4">
      <c r="B4" s="28" t="s">
        <v>369</v>
      </c>
      <c r="C4" s="28" t="s">
        <v>368</v>
      </c>
    </row>
    <row r="5">
      <c r="B5" s="28" t="s">
        <v>370</v>
      </c>
      <c r="C5" s="28" t="s">
        <v>371</v>
      </c>
    </row>
    <row r="6">
      <c r="B6" s="28" t="s">
        <v>372</v>
      </c>
      <c r="C6" s="28" t="s">
        <v>366</v>
      </c>
    </row>
    <row r="7">
      <c r="B7" s="28" t="s">
        <v>373</v>
      </c>
      <c r="C7" s="28" t="s">
        <v>368</v>
      </c>
    </row>
    <row r="8">
      <c r="B8" s="28" t="s">
        <v>374</v>
      </c>
      <c r="C8" s="28" t="s">
        <v>368</v>
      </c>
    </row>
    <row r="9">
      <c r="B9" s="28" t="s">
        <v>375</v>
      </c>
      <c r="C9" s="28" t="s">
        <v>366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