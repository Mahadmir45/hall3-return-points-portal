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AdvFin-SemB" sheetId="1" r:id="rId5"/>
    <sheet state="visible" name="ICFD-SemB" sheetId="2" r:id="rId6"/>
    <sheet state="visible" name="Events-SemB" sheetId="3" r:id="rId7"/>
    <sheet state="visible" name="ICFD-SemA" sheetId="4" r:id="rId8"/>
    <sheet state="visible" name="Events-SemA" sheetId="5" r:id="rId9"/>
    <sheet state="visible" name="all-AdvFin-SemA" sheetId="6" r:id="rId10"/>
    <sheet state="visible" name="Previous Example"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tc={11c73b9a-7abf-4ebe-867b-aedde8460972}</author>
  </authors>
  <commentList>
    <comment authorId="0" xr:uid="{11c73b9a-7abf-4ebe-867b-aedde8460972}" ref="F75">
      <text>
        <t xml:space="preserve">[Threaded comment]
 Your version of Excel allows you to read this threaded comment; however, any edits to it will get removed if the file is opened in a newer version of Excel. Learn more: https://go.microsoft.com/fwlink/?linkid=870924
Comment:
	Pre-rating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tc={005e9293-5895-4850-b778-41a26dbfc20d}</author>
    <author>tc={8729575e-9dbe-464f-a8d1-366866052bbe}</author>
    <author>tc={e48f0de2-e93f-44ee-8c0b-6899f1a6d5a5}</author>
  </authors>
  <commentList>
    <comment authorId="0" xr:uid="{005e9293-5895-4850-b778-41a26dbfc20d}" ref="Q57">
      <text>
        <t xml:space="preserve">[Threaded comment]
 Your version of Excel allows you to read this threaded comment; however, any edits to it will get removed if the file is opened in a newer version of Excel. Learn more: https://go.microsoft.com/fwlink/?linkid=870924
Comment:
	Not yet graded
Reply:
	please remember to discuss it next time
</t>
      </text>
    </comment>
    <comment authorId="1" xr:uid="{8729575e-9dbe-464f-a8d1-366866052bbe}" ref="Q38">
      <text>
        <t xml:space="preserve">[Threaded comment]
 Your version of Excel allows you to read this threaded comment; however, any edits to it will get removed if the file is opened in a newer version of Excel. Learn more: https://go.microsoft.com/fwlink/?linkid=870924
Comment:
	late
</t>
      </text>
    </comment>
    <comment authorId="2" xr:uid="{e48f0de2-e93f-44ee-8c0b-6899f1a6d5a5}" ref="N38">
      <text>
        <t xml:space="preserve">[Threaded comment]
 Your version of Excel allows you to read this threaded comment; however, any edits to it will get removed if the file is opened in a newer version of Excel. Learn more: https://go.microsoft.com/fwlink/?linkid=870924
Comment:
	late
</t>
      </text>
    </comment>
  </commentList>
</comments>
</file>

<file path=xl/sharedStrings.xml><?xml version="1.0" encoding="utf-8"?>
<sst xmlns="http://schemas.openxmlformats.org/spreadsheetml/2006/main" count="1264" uniqueCount="460">
  <si>
    <t>*** This form / folder should be accessed by RTs/RM only</t>
  </si>
  <si>
    <t>*** RTs should communciate well with the HSO</t>
  </si>
  <si>
    <t xml:space="preserve">*** This spreadsheet will be important for returning later </t>
  </si>
  <si>
    <t>*** RTs please input the information to this spreadsheet</t>
  </si>
  <si>
    <t>Note: RT can give rating for some residents</t>
  </si>
  <si>
    <t>Note: HMT will discuss the final returning point in the meeting</t>
  </si>
  <si>
    <t>2-hours work/on time</t>
  </si>
  <si>
    <t>Excellent</t>
  </si>
  <si>
    <t>Above average</t>
  </si>
  <si>
    <t>Average</t>
  </si>
  <si>
    <t>Below average</t>
  </si>
  <si>
    <t>Poor</t>
  </si>
  <si>
    <t>No response</t>
  </si>
  <si>
    <t>HSO Performance rate: Excellent = 5  Above average = 4 ; average = 3; Below average = 2; Poor = 1; No involvement = 0</t>
  </si>
  <si>
    <t>late</t>
  </si>
  <si>
    <t>Tasks</t>
  </si>
  <si>
    <t>Name</t>
  </si>
  <si>
    <t>F</t>
  </si>
  <si>
    <t>Floor</t>
  </si>
  <si>
    <t>Position</t>
  </si>
  <si>
    <t>Meeting
(28/9)</t>
  </si>
  <si>
    <t>Meeting
(x/10)</t>
  </si>
  <si>
    <t>Meeting
 (x/10)</t>
  </si>
  <si>
    <t>Meeting
 (x/11)</t>
  </si>
  <si>
    <t>Meeting
(x/11)</t>
  </si>
  <si>
    <t>Meeting
(x/12)</t>
  </si>
  <si>
    <t>Umbrella
(Oct)</t>
  </si>
  <si>
    <t>Umbrella
(Nov)</t>
  </si>
  <si>
    <t>Umbrella
(Dec)</t>
  </si>
  <si>
    <t>Afzal Hosen</t>
  </si>
  <si>
    <t>306B</t>
  </si>
  <si>
    <t>Event / Cultural Officer</t>
  </si>
  <si>
    <t>Jocelyn Andrea Madolen</t>
  </si>
  <si>
    <t>803B</t>
  </si>
  <si>
    <t>Cheng Yu Chun</t>
  </si>
  <si>
    <t>603B</t>
  </si>
  <si>
    <t>Sports Officer</t>
  </si>
  <si>
    <t>CHEUNG Chit Hei</t>
  </si>
  <si>
    <t>1005A</t>
  </si>
  <si>
    <t>ISFD / Sports Officer</t>
  </si>
  <si>
    <t>Fu Shuqi</t>
  </si>
  <si>
    <t>701B</t>
  </si>
  <si>
    <t>Advocacy Officer</t>
  </si>
  <si>
    <t>Michelle Almira Moreen</t>
  </si>
  <si>
    <t>802B</t>
  </si>
  <si>
    <t>Publicity / Advocacy Officer</t>
  </si>
  <si>
    <t>Frederick Nielsen Guretno</t>
  </si>
  <si>
    <t>103B</t>
  </si>
  <si>
    <t>Finance Officer</t>
  </si>
  <si>
    <t>WANG Shan</t>
  </si>
  <si>
    <t>201A</t>
  </si>
  <si>
    <t>Admin Officer</t>
  </si>
  <si>
    <t>ZHENG Tianyi</t>
  </si>
  <si>
    <t>501B</t>
  </si>
  <si>
    <t>Admin / Facilities Officer</t>
  </si>
  <si>
    <t>RT Mentors</t>
  </si>
  <si>
    <t>Timmy/Mahad</t>
  </si>
  <si>
    <t>Miya</t>
  </si>
  <si>
    <t>Queenie</t>
  </si>
  <si>
    <t>Iris/Lisa</t>
  </si>
  <si>
    <t>Comment/important Note</t>
  </si>
  <si>
    <t>Event Officer</t>
  </si>
  <si>
    <t>JALIL Ayman Afroz</t>
  </si>
  <si>
    <t>ZHANG Yahan (Lucy)</t>
  </si>
  <si>
    <t>HO Ho Yin (Markus)</t>
  </si>
  <si>
    <t>BASARAH Michael Terence</t>
  </si>
  <si>
    <t>KURNIAWAN Joseph Anggono</t>
  </si>
  <si>
    <t>CHEN Siyi (Sienna)</t>
  </si>
  <si>
    <t>Valerie Graciella</t>
  </si>
  <si>
    <t>CHEN Jiayi (Chara)</t>
  </si>
  <si>
    <t>Yuna Huh</t>
  </si>
  <si>
    <t>Wong Chun Yu Joe</t>
  </si>
  <si>
    <t>Year</t>
  </si>
  <si>
    <t>Room</t>
  </si>
  <si>
    <t>805A</t>
  </si>
  <si>
    <t>503A</t>
  </si>
  <si>
    <t>304B</t>
  </si>
  <si>
    <t>1001B</t>
  </si>
  <si>
    <t>302B</t>
  </si>
  <si>
    <t>301A</t>
  </si>
  <si>
    <t>704A</t>
  </si>
  <si>
    <t>205A</t>
  </si>
  <si>
    <t>Admin</t>
  </si>
  <si>
    <t>Liza</t>
  </si>
  <si>
    <t>Meeting attendance 1 (28/1)</t>
  </si>
  <si>
    <t>0 
Not Available, no detail</t>
  </si>
  <si>
    <t>Iris</t>
  </si>
  <si>
    <t>Meeting attendence 2 (4/3)</t>
  </si>
  <si>
    <t>HSO Training (Wellbeing) (4/2)</t>
  </si>
  <si>
    <t>Meeting attendance 3 (8/4)</t>
  </si>
  <si>
    <t>2 (late)</t>
  </si>
  <si>
    <t>(Abset with excuse)</t>
  </si>
  <si>
    <t>Meeting attendance 3</t>
  </si>
  <si>
    <t>Weekly facility check 2/2/2026</t>
  </si>
  <si>
    <t>Weekly facility check 9/2/2026</t>
  </si>
  <si>
    <r>
      <rPr>
        <rFont val="Arial"/>
        <strike/>
        <color theme="1"/>
      </rPr>
      <t xml:space="preserve">Weekly facility check 16/2/2026 </t>
    </r>
    <r>
      <rPr>
        <rFont val="Arial"/>
        <i/>
        <strike val="0"/>
        <color rgb="FFFF0000"/>
      </rPr>
      <t>Holiday</t>
    </r>
  </si>
  <si>
    <t>Weekly facility check 23/2/2026</t>
  </si>
  <si>
    <t>Weekly facility check 2/3/2026</t>
  </si>
  <si>
    <t>1 (late)</t>
  </si>
  <si>
    <t>Weekly facility check 9/3/2026</t>
  </si>
  <si>
    <t>Weekly facility check 16/3/2026</t>
  </si>
  <si>
    <t>Weekly facility check 23/3/2026</t>
  </si>
  <si>
    <t xml:space="preserve">Weekly facility check 30/3/2026 </t>
  </si>
  <si>
    <r>
      <rPr>
        <rFont val="Arial"/>
        <color theme="1"/>
      </rPr>
      <t xml:space="preserve">Weekly facility check 8/4/2026
</t>
    </r>
    <r>
      <rPr>
        <rFont val="Arial"/>
        <i/>
        <color rgb="FFFF0000"/>
      </rPr>
      <t>*Move to Wednesday because of Holiday</t>
    </r>
  </si>
  <si>
    <t>Weekly facility check 13/4/2027</t>
  </si>
  <si>
    <t>Finance (special)</t>
  </si>
  <si>
    <t xml:space="preserve">Advocacy </t>
  </si>
  <si>
    <t xml:space="preserve">HSO Introduction Poster </t>
  </si>
  <si>
    <t xml:space="preserve">RLA Calender </t>
  </si>
  <si>
    <t>SRO Induction Poster</t>
  </si>
  <si>
    <t>Tidy Up Hall Magazine</t>
  </si>
  <si>
    <t xml:space="preserve">3
13-24 Page (pending) </t>
  </si>
  <si>
    <t>4
1-12 Page
- HSO 
- Editor board</t>
  </si>
  <si>
    <t>4
25-Final</t>
  </si>
  <si>
    <t>Signature Event if any</t>
  </si>
  <si>
    <t xml:space="preserve">Signature Event </t>
  </si>
  <si>
    <t xml:space="preserve">Queenie </t>
  </si>
  <si>
    <t>Spring Fetival</t>
  </si>
  <si>
    <t>4 (Late) 
- Hall Magazine 
- Reels
- Caption</t>
  </si>
  <si>
    <t xml:space="preserve">Singing Contest </t>
  </si>
  <si>
    <t>4
- Hall Magazine
- Reels</t>
  </si>
  <si>
    <t>4 (claim)</t>
  </si>
  <si>
    <t>Farewell Party</t>
  </si>
  <si>
    <t xml:space="preserve">2
- Goodbye Video </t>
  </si>
  <si>
    <t xml:space="preserve">4
- Conclude Video </t>
  </si>
  <si>
    <t>4
- Hall Magazine 
- Reel</t>
  </si>
  <si>
    <t>3 (claim)</t>
  </si>
  <si>
    <t>Team Activity</t>
  </si>
  <si>
    <t>CNY Decoration (5/2)</t>
  </si>
  <si>
    <t>1 (Late)</t>
  </si>
  <si>
    <t>4 (PIC)</t>
  </si>
  <si>
    <t>CNY Decoration (5/2) - claim</t>
  </si>
  <si>
    <t>1 (claim)</t>
  </si>
  <si>
    <t xml:space="preserve">Lift Deco Recap Reels - Behind the scene </t>
  </si>
  <si>
    <t>Lift Decoration (9/2)</t>
  </si>
  <si>
    <t>2 (Late)</t>
  </si>
  <si>
    <t xml:space="preserve">CNY Deco Recap Reels </t>
  </si>
  <si>
    <t>Exam Energizer</t>
  </si>
  <si>
    <t>1 (absent/ pick up)</t>
  </si>
  <si>
    <t>2 (Only one / pick up )</t>
  </si>
  <si>
    <t>4 PIC (Order / pick up)</t>
  </si>
  <si>
    <t>3 (pick up)</t>
  </si>
  <si>
    <t>2+1(magazine)</t>
  </si>
  <si>
    <t>Facility upgrade</t>
  </si>
  <si>
    <t xml:space="preserve">5=4 (pic) + 1 </t>
  </si>
  <si>
    <t>Mahad</t>
  </si>
  <si>
    <t>G03</t>
  </si>
  <si>
    <t>4(PIC)</t>
  </si>
  <si>
    <t>Other IG Story/Reels</t>
  </si>
  <si>
    <t>RLA</t>
  </si>
  <si>
    <t>RLA 2 : A Matcha Workshop: Drink Green if You don’t Eat Green.</t>
  </si>
  <si>
    <t>Hall life - Study Room IG Highlights</t>
  </si>
  <si>
    <t>ICFD</t>
  </si>
  <si>
    <t>Badminton (Advocacy)</t>
  </si>
  <si>
    <t>4 - cheering poster+ print;vedio, magazine</t>
  </si>
  <si>
    <t>Badminton (Logistics)</t>
  </si>
  <si>
    <t>5 -court booking and organize training, high participation</t>
  </si>
  <si>
    <t>Futsal (Advocacy)</t>
  </si>
  <si>
    <t xml:space="preserve">3 - 1 poster + 1 reels </t>
  </si>
  <si>
    <t>Futsal (Logistics)</t>
  </si>
  <si>
    <t>3 - court booking + communication with manager,players</t>
  </si>
  <si>
    <t>Singcon (Advocacy)</t>
  </si>
  <si>
    <t>2 - 1 reels + 1 magzine + 1 poster edittin g</t>
  </si>
  <si>
    <t>Singcon (Logistics)</t>
  </si>
  <si>
    <t>1 - cannot show up on rehearsal + flower booking</t>
  </si>
  <si>
    <t>Events</t>
  </si>
  <si>
    <t>Group Task</t>
  </si>
  <si>
    <t>RT PIC</t>
  </si>
  <si>
    <t>Start Preparation
Date</t>
  </si>
  <si>
    <t>App/Work Deadline</t>
  </si>
  <si>
    <t>Other Deadline</t>
  </si>
  <si>
    <t>RLA Interview</t>
  </si>
  <si>
    <t>SemB Induction – SitCounter/Preparation</t>
  </si>
  <si>
    <t>12/1: Ordering from Taobao</t>
  </si>
  <si>
    <t>Poster Done 
Caption Done</t>
  </si>
  <si>
    <t>Timmy</t>
  </si>
  <si>
    <t>RLA 1: Making Hong Kong Food with Light-Clay Workshop</t>
  </si>
  <si>
    <t>3(on site, reels)</t>
  </si>
  <si>
    <t>0.5(chinese translation)</t>
  </si>
  <si>
    <t>2 (claim)</t>
  </si>
  <si>
    <t>HSO Recruitment</t>
  </si>
  <si>
    <t>poster update in 15/1</t>
  </si>
  <si>
    <t>4(3 + 1 extra reel)</t>
  </si>
  <si>
    <t>1 (chinese translation)</t>
  </si>
  <si>
    <t>SRO CNY Fest (??)</t>
  </si>
  <si>
    <t>Lisa/Iris</t>
  </si>
  <si>
    <t>8/1 (Send proposal to SRO, approved on 9/1)</t>
  </si>
  <si>
    <t>23/1: Start Application
3/2: Close Application
4/2: Pick helpers
5/2, 10/2, 11/2: helper briefing (only pick one date, TBA)
12/2: Event Day</t>
  </si>
  <si>
    <t>1. ig poster + caption + helper forms --&gt; 16/1 (Iris)
2. make the helper shift + monitor + communicate with helpers --&gt; starting from 3/2 (Liza)
3. buying items --&gt; after 9/1 (Liza)
4. reimbursement --&gt; 19 Jan (Iris)
5. reels + caption --&gt; by 18/2 (Advocacy HSO)
6. post + caption --&gt; by 18/2 (Advocacy HSO)</t>
  </si>
  <si>
    <t>RLA 3: Trivia Night</t>
  </si>
  <si>
    <t>3(On site, magazine, reel, late, chin caps)</t>
  </si>
  <si>
    <t>Call for ICFD Team Manager</t>
  </si>
  <si>
    <t>ICFD RT Duty (Lisa)</t>
  </si>
  <si>
    <t>17 Jan: Start application
21 jan: SRO briefing
23 Jan:due date for application
24 - 26 Jan: manager interview
27 Jan - 14 Feb: practice &amp; selection</t>
  </si>
  <si>
    <t xml:space="preserve">RLA 4: Hong Kong sweet dessert soup sharings </t>
  </si>
  <si>
    <t>Call for RLA (Event RT)</t>
  </si>
  <si>
    <t>Event RT Duty (Ivan)</t>
  </si>
  <si>
    <t>RLA 5: Perler Beads</t>
  </si>
  <si>
    <t>4(3+1 extra reels)</t>
  </si>
  <si>
    <t>G03 Multi Function Room Cleaning</t>
  </si>
  <si>
    <t>Labiba</t>
  </si>
  <si>
    <t>Wellbeing Team: Hiking Activity</t>
  </si>
  <si>
    <t xml:space="preserve">5(on site,extra ig reel, recap,magazine) </t>
  </si>
  <si>
    <t>RLA implementation (Event RT)</t>
  </si>
  <si>
    <t>Event RT Duty (Timmy &amp; Ivan)</t>
  </si>
  <si>
    <t>RLA 6: Creative Flipbook Workshop</t>
  </si>
  <si>
    <t>3(on site,extra ig reel,recap, magazine, late)</t>
  </si>
  <si>
    <t>CNY Deco (2 weeks in advance)</t>
  </si>
  <si>
    <t>Wellbeing Team: Cocktail workshop</t>
  </si>
  <si>
    <t>2(on site, magazine, recap)</t>
  </si>
  <si>
    <t>Lift Deco</t>
  </si>
  <si>
    <t>6 Feb: Basic Theme
Before End of Feb: Done</t>
  </si>
  <si>
    <t xml:space="preserve">wellbeing gathering: sweet soup </t>
  </si>
  <si>
    <t>1(provide help, cleaning)</t>
  </si>
  <si>
    <t>Hall Singing Contest – Signature Event</t>
  </si>
  <si>
    <t>Timmy &amp; Ivan</t>
  </si>
  <si>
    <t>4 March?)</t>
  </si>
  <si>
    <t>1,8,12,15 March</t>
  </si>
  <si>
    <t>ICFD - Basketball</t>
  </si>
  <si>
    <t>5 Feb: Start Application
11 Feb: Close Application
12-15 Feb: Manager interview
16-28 Feb: Practice Session</t>
  </si>
  <si>
    <t>Total</t>
  </si>
  <si>
    <t>Late March</t>
  </si>
  <si>
    <t>Farewell Party/CNY Dinner/other – Signature Event</t>
  </si>
  <si>
    <t>Queenie&amp;Iris</t>
  </si>
  <si>
    <t>Total Normalized</t>
  </si>
  <si>
    <t>23 = 50%</t>
  </si>
  <si>
    <t>ICFD - Singing Contest</t>
  </si>
  <si>
    <t>Liza (organized by SRO, not much to do from hall)</t>
  </si>
  <si>
    <t>12 March: Submit 1 solo and 1 group performance representative video to SRO, if pass the screening (top 8) then will proceed to 9 April singcon</t>
  </si>
  <si>
    <t>Best Reels</t>
  </si>
  <si>
    <t>April 12-17 (Pick 1 date, TBA)</t>
  </si>
  <si>
    <t>Lisa</t>
  </si>
  <si>
    <t>April 21-25</t>
  </si>
  <si>
    <t>Exam energizer (revision week)</t>
  </si>
  <si>
    <t>reel</t>
  </si>
  <si>
    <t>Advocacy</t>
  </si>
  <si>
    <t>*Poster + Caption</t>
  </si>
  <si>
    <t>*Post + Reels + Caption</t>
  </si>
  <si>
    <t>ICFD / Sports Officer</t>
  </si>
  <si>
    <t>2- 1 reels + 1 magzine + 1 poster editting</t>
  </si>
  <si>
    <t>Yu Man Wai Sofie</t>
  </si>
  <si>
    <t>Umer Adnan</t>
  </si>
  <si>
    <t>CHOWDHURY Samin</t>
  </si>
  <si>
    <t>SANTOSA Steven Sie</t>
  </si>
  <si>
    <t>Pengfei Xie Eric</t>
  </si>
  <si>
    <t>CHEN Jiayi Chara</t>
  </si>
  <si>
    <t>706A</t>
  </si>
  <si>
    <t>206A</t>
  </si>
  <si>
    <t>304A</t>
  </si>
  <si>
    <t>206B</t>
  </si>
  <si>
    <t>Tow (Advocacy)</t>
  </si>
  <si>
    <t>(4) - reels+caption+ magazine</t>
  </si>
  <si>
    <t>SportClub (Logistics)</t>
  </si>
  <si>
    <t>(5) - coodinate all basket ball and table tennis sport club session</t>
  </si>
  <si>
    <t>BasketBall (Advocacy)</t>
  </si>
  <si>
    <t>(4) - Poster+ 2reels+captions+Magazine
Male Reels better than Female Reels</t>
  </si>
  <si>
    <t>BasketBall (Logistics)</t>
  </si>
  <si>
    <t>(3) - facilities booking + attendance summary</t>
  </si>
  <si>
    <t>Claim (2)</t>
  </si>
  <si>
    <t>Table Tennis (Advocacy)</t>
  </si>
  <si>
    <t>(2) - 2 posters + captions + reels +missing mag</t>
  </si>
  <si>
    <t>Table Tennis (Logistics)</t>
  </si>
  <si>
    <t xml:space="preserve">(2) - attendance collecting  </t>
  </si>
  <si>
    <t>Gaming Night</t>
  </si>
  <si>
    <t>2(PIC, not on site)</t>
  </si>
  <si>
    <t>1(on-site)</t>
  </si>
  <si>
    <t>2(claim)</t>
  </si>
  <si>
    <t>Peak Pursuit: A Hall Hiking Day</t>
  </si>
  <si>
    <t>1 (ig chin)</t>
  </si>
  <si>
    <t>5 (PIC, good reel, on site, magazine)</t>
  </si>
  <si>
    <t>Bengali Mask make workshop</t>
  </si>
  <si>
    <t>3 (wrong ratio reels)</t>
  </si>
  <si>
    <t>Escape Room</t>
  </si>
  <si>
    <t>5(PIC, on site, reel,magazine）</t>
  </si>
  <si>
    <t>Totebag Painting Workshop</t>
  </si>
  <si>
    <t>3 (caption, onsite)? magazine</t>
  </si>
  <si>
    <t>1(claim)</t>
  </si>
  <si>
    <t>Wellbeing: vision board</t>
  </si>
  <si>
    <t>3（late-come,magazine, reels)</t>
  </si>
  <si>
    <t>Wellbeing: Cocktail/mocktail workshop</t>
  </si>
  <si>
    <t>2 （magazine, on site)</t>
  </si>
  <si>
    <t>Meeting attendance 1</t>
  </si>
  <si>
    <t>Meeting attendance 2</t>
  </si>
  <si>
    <t>2(late)</t>
  </si>
  <si>
    <t>For facility check, normal = 2</t>
  </si>
  <si>
    <t>Weekly facility check 06/10/2025</t>
  </si>
  <si>
    <t>Weekly facility check 15/10/2025</t>
  </si>
  <si>
    <t>1(late)</t>
  </si>
  <si>
    <t xml:space="preserve">0.5 (for reminder) </t>
  </si>
  <si>
    <t>Weekly facility check 20/10/2025</t>
  </si>
  <si>
    <t>1.5 (printing paper)</t>
  </si>
  <si>
    <t>Weekly facility check 27/10/2025</t>
  </si>
  <si>
    <t>Weekly facility check 03/11/2025</t>
  </si>
  <si>
    <t>Weekly facility check 10/11/2025</t>
  </si>
  <si>
    <t>Weekly facility check 18/11/2025</t>
  </si>
  <si>
    <t>Weekly facility check 24/11/2025</t>
  </si>
  <si>
    <t>Weekly facility check 2/12/2025</t>
  </si>
  <si>
    <t>Weekly facility check 8/12/2025</t>
  </si>
  <si>
    <t>Hall Magazine</t>
  </si>
  <si>
    <t>3(Welcoming Party)</t>
  </si>
  <si>
    <t xml:space="preserve">3(Cover + Chapter Cover) </t>
  </si>
  <si>
    <t xml:space="preserve">4 ( Mid-Autumn Design) </t>
  </si>
  <si>
    <t xml:space="preserve">1(For helping print out materials) </t>
  </si>
  <si>
    <t>1(Claim)</t>
  </si>
  <si>
    <t>3 (caption, onsite) magazine</t>
  </si>
  <si>
    <t>HSO1</t>
  </si>
  <si>
    <t>HSO2</t>
  </si>
  <si>
    <t>HSO3</t>
  </si>
  <si>
    <t>HSO4</t>
  </si>
  <si>
    <t>HSO5</t>
  </si>
  <si>
    <t>HSO6</t>
  </si>
  <si>
    <t>HSO7</t>
  </si>
  <si>
    <t xml:space="preserve">(3) - facilities booking (5) + attendance summary + </t>
  </si>
  <si>
    <t>Claim (1)</t>
  </si>
  <si>
    <t>HSO8</t>
  </si>
  <si>
    <t>BasketBall (Attendance)</t>
  </si>
  <si>
    <t xml:space="preserve">(3)- attendance </t>
  </si>
  <si>
    <t>HSO9</t>
  </si>
  <si>
    <t>HSO10</t>
  </si>
  <si>
    <t>Table Tennis (Attendance)</t>
  </si>
  <si>
    <t>(2.5) - attendance</t>
  </si>
  <si>
    <t>Hall Annual Dinner (Poster/Reels/Caption)</t>
  </si>
  <si>
    <t xml:space="preserve">3 (Reels) </t>
  </si>
  <si>
    <t>1(Magazine)</t>
  </si>
  <si>
    <t>1(Caption)</t>
  </si>
  <si>
    <t>Hall Annual Dinner (Claim)</t>
  </si>
  <si>
    <t>3 (Claim)</t>
  </si>
  <si>
    <t>Halloween Deco</t>
  </si>
  <si>
    <t>5 (PIC)</t>
  </si>
  <si>
    <t>Halloween Deco (Claim)</t>
  </si>
  <si>
    <t>1 (Claim)</t>
  </si>
  <si>
    <t xml:space="preserve">Halloween Deco Removal </t>
  </si>
  <si>
    <t>3 (Monitoring)</t>
  </si>
  <si>
    <t>&lt;&lt;Check</t>
  </si>
  <si>
    <t xml:space="preserve">Giveaway </t>
  </si>
  <si>
    <t>4 (extra help)</t>
  </si>
  <si>
    <t>Giveaway (Claim)</t>
  </si>
  <si>
    <t>Xmas Deco SignUp Record</t>
  </si>
  <si>
    <t>signup (PIC)</t>
  </si>
  <si>
    <t>??</t>
  </si>
  <si>
    <t>X</t>
  </si>
  <si>
    <t>signup</t>
  </si>
  <si>
    <t xml:space="preserve">Xmas Deco </t>
  </si>
  <si>
    <t>PIC, sick adsent (2)</t>
  </si>
  <si>
    <t>Xmas Deco Removal</t>
  </si>
  <si>
    <t>Xmas Deco (Claim)</t>
  </si>
  <si>
    <t xml:space="preserve">Exam energizer </t>
  </si>
  <si>
    <t>(leave break)</t>
  </si>
  <si>
    <t>5(PIC, poster, caption)</t>
  </si>
  <si>
    <t>Exam energizer (Claim)</t>
  </si>
  <si>
    <t>Exam Energizer (reels, caption, fac mag)</t>
  </si>
  <si>
    <t>2.5 (reels, mag)</t>
  </si>
  <si>
    <t>G03 cleaning</t>
  </si>
  <si>
    <t>total</t>
  </si>
  <si>
    <t>retrning Pt</t>
  </si>
  <si>
    <t>50% = 11.5</t>
  </si>
  <si>
    <t xml:space="preserve"> total</t>
  </si>
  <si>
    <t>Jan 21-23</t>
  </si>
  <si>
    <t>Jan-April</t>
  </si>
  <si>
    <t>Jan-Feb??</t>
  </si>
  <si>
    <t>Feb-March?</t>
  </si>
  <si>
    <t>1. Each propser/OC should submit the proposal with the information below</t>
  </si>
  <si>
    <t>2. After the activity, the student organizer should provide the helpers/participants information and photos</t>
  </si>
  <si>
    <t>3. After the activity, the student organizer should provide a holistic review on hall achievements/outcomes in reference to the strategic goals/ILOs</t>
  </si>
  <si>
    <t>4. RTs please input the information to this spreadsheet</t>
  </si>
  <si>
    <t>2-hours work</t>
  </si>
  <si>
    <t>Score system: X = 8; Y= 5 ; Z = 3</t>
  </si>
  <si>
    <t>Comment</t>
  </si>
  <si>
    <t>SID</t>
  </si>
  <si>
    <t>Rt Mentors</t>
  </si>
  <si>
    <t>XXX</t>
  </si>
  <si>
    <t>3 (MM)</t>
  </si>
  <si>
    <t>xx is proactive during the meeting
Chris prepared the MM quick, but lack of experience
xxLate due to class (accepted), 
HMT consider the next meeting time, RT pls check if he has class on every wed night</t>
  </si>
  <si>
    <t>Meeting
(18/10)</t>
  </si>
  <si>
    <t>Meeting
(29/11)</t>
  </si>
  <si>
    <t>2 (MM)</t>
  </si>
  <si>
    <t>PIC (2)</t>
  </si>
  <si>
    <t>no HSO checking the umberalla (Finance and admin)</t>
  </si>
  <si>
    <t>PIC (3)</t>
  </si>
  <si>
    <t>HSO Poster</t>
  </si>
  <si>
    <t>Design (3.5-4)</t>
  </si>
  <si>
    <t>nice design</t>
  </si>
  <si>
    <t>SIP Interview/Calander Poster</t>
  </si>
  <si>
    <t>IG Eng / 
interview (3.5)</t>
  </si>
  <si>
    <t>interview(2.5)</t>
  </si>
  <si>
    <t>Design/
IG poster(3)</t>
  </si>
  <si>
    <t>IG chin(2)</t>
  </si>
  <si>
    <t>normal design</t>
  </si>
  <si>
    <t>Returning Briefing (SemA)</t>
  </si>
  <si>
    <t>ig Eng(2)</t>
  </si>
  <si>
    <t>ig chin(2)</t>
  </si>
  <si>
    <t>Floor Gathering Summary - RTs do it?</t>
  </si>
  <si>
    <t>Hall IG Theme</t>
  </si>
  <si>
    <t>highlight (3)</t>
  </si>
  <si>
    <t>xxx</t>
  </si>
  <si>
    <t>onsite (3)</t>
  </si>
  <si>
    <t>PIC Jocelyn (6)
Prep/Selection</t>
  </si>
  <si>
    <t>order (3)</t>
  </si>
  <si>
    <t>replied (1)</t>
  </si>
  <si>
    <t>onsite (4)</t>
  </si>
  <si>
    <t>claim(3)</t>
  </si>
  <si>
    <t>removal (1)</t>
  </si>
  <si>
    <t>stick (3)</t>
  </si>
  <si>
    <t>nothing (0)</t>
  </si>
  <si>
    <t>onsite  (4)</t>
  </si>
  <si>
    <t>onsite +
video (4)</t>
  </si>
  <si>
    <t>PIC +
onsite +
poster (5)</t>
  </si>
  <si>
    <t>Sofa cover + selection + order (4)</t>
  </si>
  <si>
    <t>Sofa cover + 
selection (3)</t>
  </si>
  <si>
    <t>Onsite (1)</t>
  </si>
  <si>
    <t>deco review (3)
Pickup (3)</t>
  </si>
  <si>
    <t>No reply (0)</t>
  </si>
  <si>
    <t>deco review (2)</t>
  </si>
  <si>
    <t>PIC (5)
deco review (2?)/ Ordering (3?)
onsite</t>
  </si>
  <si>
    <t>deco review (2)
Onsite (late)</t>
  </si>
  <si>
    <t>No reply(0)</t>
  </si>
  <si>
    <t>deco review (4) /Ordering
Onsite (leave early?)</t>
  </si>
  <si>
    <t>(2) 2nd</t>
  </si>
  <si>
    <t>collect drink (3)
2nd</t>
  </si>
  <si>
    <t xml:space="preserve">PIC (5)
order/pickup
1st x 2 </t>
  </si>
  <si>
    <t>2nd (2)</t>
  </si>
  <si>
    <t>(4) 1st x2</t>
  </si>
  <si>
    <t>claim(3)
3rd</t>
  </si>
  <si>
    <t>none(0)</t>
  </si>
  <si>
    <t xml:space="preserve">✅ </t>
  </si>
  <si>
    <t xml:space="preserve">✅ ✅ </t>
  </si>
  <si>
    <t xml:space="preserve"> ✅ </t>
  </si>
  <si>
    <t>SIP Event</t>
  </si>
  <si>
    <t>Ig Eng (4)</t>
  </si>
  <si>
    <t>IG Chin (2)</t>
  </si>
  <si>
    <t>IG Reel (3)</t>
  </si>
  <si>
    <t>XX</t>
  </si>
  <si>
    <t>Claim (4)</t>
  </si>
  <si>
    <t>IG Captions should be improved / content more related to H3</t>
  </si>
  <si>
    <t>PIC (4)</t>
  </si>
  <si>
    <t xml:space="preserve">Ig Chin (2) </t>
  </si>
  <si>
    <t>Claim (3)</t>
  </si>
  <si>
    <t>PIC (5) Ig chin</t>
  </si>
  <si>
    <t>PIC (4) Ig Chin</t>
  </si>
  <si>
    <t>PIC , Reels (5)</t>
  </si>
  <si>
    <t>IG Reel(3)</t>
  </si>
  <si>
    <t>IG recap Eng (2)</t>
  </si>
  <si>
    <t>IG recap Chin (2)</t>
  </si>
  <si>
    <t>help (3)</t>
  </si>
  <si>
    <t>bought items for the team
HSO need to be more proactive in HSO group</t>
  </si>
  <si>
    <t>IG Reel (4)</t>
  </si>
  <si>
    <t>Order drinks/Pickup (2)</t>
  </si>
  <si>
    <t>IG Chin (2)
Onsite (2)</t>
  </si>
  <si>
    <t>IG Eng (2)</t>
  </si>
  <si>
    <t>Sum (Total)</t>
  </si>
  <si>
    <t>35+3</t>
  </si>
  <si>
    <t>44.5+3</t>
  </si>
  <si>
    <t>21+3</t>
  </si>
  <si>
    <t>32+3</t>
  </si>
  <si>
    <t>Returning Points</t>
  </si>
  <si>
    <t>max = 15</t>
  </si>
  <si>
    <t>average = 9</t>
  </si>
  <si>
    <t>min = 6</t>
  </si>
  <si>
    <t>sum of returning point=</t>
  </si>
  <si>
    <t>HSO11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</si>
</sst>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numFmt numFmtId="165" formatCode="d mmmm"/>
    <numFmt numFmtId="166" formatCode="mmm d"/>
  </numFmts>
  <fonts count="30">
    <font>
      <sz val="10.0"/>
      <color rgb="FF000000"/>
      <name val="Arial"/>
      <scheme val="minor"/>
    </font>
    <font>
      <b/>
      <color theme="1"/>
      <name val="Arial"/>
    </font>
    <font>
      <color theme="1"/>
      <name val="Arial"/>
    </font>
    <font>
      <color theme="1"/>
      <name val="Arial"/>
      <scheme val="minor"/>
    </font>
    <font>
      <strike/>
      <color theme="1"/>
      <name val="Arial"/>
      <scheme val="minor"/>
    </font>
    <font>
      <b/>
      <strike/>
      <color theme="1"/>
      <name val="Arial"/>
    </font>
    <font>
      <strike/>
      <color theme="1"/>
      <name val="Arial"/>
    </font>
    <font>
      <b/>
      <color theme="1"/>
      <name val="Arial"/>
      <scheme val="minor"/>
    </font>
    <font>
      <b/>
      <u/>
      <color theme="1"/>
      <name val="Arial"/>
      <scheme val="minor"/>
    </font>
    <font>
      <b/>
      <u/>
      <sz val="10.0"/>
      <color theme="1"/>
      <name val="Arial"/>
      <scheme val="minor"/>
    </font>
    <font>
      <u/>
      <color theme="1"/>
      <name val="Arial"/>
      <scheme val="minor"/>
    </font>
    <font>
      <b/>
      <u/>
      <color theme="1"/>
      <name val="Arial"/>
    </font>
    <font>
      <b/>
      <sz val="10.0"/>
      <color rgb="FF000000"/>
      <name val="Arial"/>
    </font>
    <font>
      <sz val="11.0"/>
      <color rgb="FF000000"/>
      <name val="Arial"/>
    </font>
    <font>
      <i/>
      <color rgb="FFFF0000"/>
      <name val="Arial"/>
      <scheme val="minor"/>
    </font>
    <font>
      <sz val="12.0"/>
      <color rgb="FF000000"/>
      <name val="Calibri"/>
    </font>
    <font>
      <b/>
      <sz val="12.0"/>
      <color rgb="FF000000"/>
      <name val="Calibri"/>
    </font>
    <font>
      <b/>
      <sz val="12.0"/>
      <color theme="1"/>
      <name val="Calibri"/>
    </font>
    <font>
      <sz val="11.0"/>
      <color theme="1"/>
      <name val="Arial"/>
    </font>
    <font>
      <sz val="12.0"/>
      <color rgb="FF000000"/>
      <name val="Arial"/>
    </font>
    <font>
      <sz val="7.0"/>
      <color rgb="FF000000"/>
      <name val="Arial"/>
    </font>
    <font>
      <color rgb="FF000000"/>
      <name val="Arial"/>
    </font>
    <font>
      <sz val="8.0"/>
      <color rgb="FF000000"/>
      <name val="Arial"/>
    </font>
    <font>
      <sz val="9.0"/>
      <color rgb="FF000000"/>
      <name val="Arial"/>
    </font>
    <font>
      <strike/>
      <sz val="10.0"/>
      <color rgb="FF000000"/>
      <name val="Arial"/>
      <scheme val="minor"/>
    </font>
    <font>
      <sz val="11.0"/>
      <color theme="1"/>
      <name val="Arial"/>
      <scheme val="minor"/>
    </font>
    <font>
      <sz val="10.0"/>
      <color theme="1"/>
      <name val="Arial"/>
      <scheme val="minor"/>
    </font>
    <font>
      <u/>
      <color theme="1"/>
      <name val="Arial"/>
      <scheme val="minor"/>
    </font>
    <font>
      <color rgb="FF201F1E"/>
      <name val="Arial"/>
    </font>
    <font>
      <b/>
      <i/>
      <color theme="1"/>
      <name val="Arial"/>
      <scheme val="minor"/>
    </font>
  </fonts>
  <fills count="14">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D9EAD3"/>
        <bgColor rgb="FFD9EAD3"/>
      </patternFill>
    </fill>
    <fill>
      <patternFill patternType="solid">
        <fgColor rgb="FFD9D9D9"/>
        <bgColor rgb="FFD9D9D9"/>
      </patternFill>
    </fill>
    <fill>
      <patternFill patternType="solid">
        <fgColor theme="6"/>
        <bgColor theme="6"/>
      </patternFill>
    </fill>
    <fill>
      <patternFill patternType="solid">
        <fgColor theme="5"/>
        <bgColor theme="5"/>
      </patternFill>
    </fill>
    <fill>
      <patternFill patternType="solid">
        <fgColor rgb="FFF9CB9C"/>
        <bgColor rgb="FFF9CB9C"/>
      </patternFill>
    </fill>
    <fill>
      <patternFill patternType="solid">
        <fgColor rgb="FFFCE5CD"/>
        <bgColor rgb="FFFCE5CD"/>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3" fontId="1" numFmtId="0" xfId="0" applyAlignment="1" applyFill="1" applyFont="1">
      <alignment readingOrder="0" vertical="bottom"/>
    </xf>
    <xf borderId="0" fillId="0" fontId="1" numFmtId="0" xfId="0" applyAlignment="1" applyFont="1">
      <alignment shrinkToFit="0" vertical="bottom" wrapText="0"/>
    </xf>
    <xf borderId="0" fillId="0" fontId="2" numFmtId="49" xfId="0" applyAlignment="1" applyFont="1" applyNumberFormat="1">
      <alignment vertical="bottom"/>
    </xf>
    <xf borderId="0" fillId="0" fontId="1" numFmtId="0" xfId="0" applyAlignment="1" applyFont="1">
      <alignment vertical="bottom"/>
    </xf>
    <xf borderId="0" fillId="4" fontId="3" numFmtId="0" xfId="0" applyAlignment="1" applyFill="1" applyFont="1">
      <alignment readingOrder="0"/>
    </xf>
    <xf borderId="0" fillId="0" fontId="4" numFmtId="0" xfId="0" applyFont="1"/>
    <xf borderId="0" fillId="0" fontId="5" numFmtId="0" xfId="0" applyAlignment="1" applyFont="1">
      <alignment vertical="bottom"/>
    </xf>
    <xf borderId="0" fillId="0" fontId="6" numFmtId="49" xfId="0" applyAlignment="1" applyFont="1" applyNumberFormat="1">
      <alignment vertical="bottom"/>
    </xf>
    <xf borderId="0" fillId="5" fontId="3" numFmtId="0" xfId="0" applyAlignment="1" applyFill="1" applyFont="1">
      <alignment readingOrder="0"/>
    </xf>
    <xf borderId="0" fillId="3" fontId="3" numFmtId="0" xfId="0" applyAlignment="1" applyFont="1">
      <alignment readingOrder="0"/>
    </xf>
    <xf borderId="0" fillId="2" fontId="3" numFmtId="0" xfId="0" applyAlignment="1" applyFont="1">
      <alignment readingOrder="0"/>
    </xf>
    <xf borderId="0" fillId="6" fontId="3" numFmtId="0" xfId="0" applyAlignment="1" applyFill="1" applyFont="1">
      <alignment readingOrder="0"/>
    </xf>
    <xf borderId="0" fillId="3" fontId="1" numFmtId="0" xfId="0" applyAlignment="1" applyFont="1">
      <alignment readingOrder="0" shrinkToFit="0" vertical="bottom" wrapText="0"/>
    </xf>
    <xf borderId="0" fillId="3" fontId="2" numFmtId="49" xfId="0" applyAlignment="1" applyFont="1" applyNumberFormat="1">
      <alignment vertical="bottom"/>
    </xf>
    <xf borderId="0" fillId="3" fontId="1" numFmtId="0" xfId="0" applyAlignment="1" applyFont="1">
      <alignment vertical="bottom"/>
    </xf>
    <xf borderId="0" fillId="3" fontId="3" numFmtId="0" xfId="0" applyFont="1"/>
    <xf borderId="0" fillId="0" fontId="3" numFmtId="0" xfId="0" applyAlignment="1" applyFont="1">
      <alignment readingOrder="0"/>
    </xf>
    <xf borderId="0" fillId="0" fontId="7" numFmtId="0" xfId="0" applyFont="1"/>
    <xf borderId="0" fillId="0" fontId="7" numFmtId="0" xfId="0" applyAlignment="1" applyFont="1">
      <alignment readingOrder="0"/>
    </xf>
    <xf borderId="0" fillId="7" fontId="2" numFmtId="0" xfId="0" applyAlignment="1" applyFill="1" applyFont="1">
      <alignment horizontal="right" vertical="top"/>
    </xf>
    <xf borderId="0" fillId="7" fontId="2" numFmtId="0" xfId="0" applyAlignment="1" applyFont="1">
      <alignment vertical="top"/>
    </xf>
    <xf borderId="0" fillId="7" fontId="2" numFmtId="0" xfId="0" applyAlignment="1" applyFont="1">
      <alignment horizontal="right" vertical="bottom"/>
    </xf>
    <xf borderId="0" fillId="7" fontId="2" numFmtId="0" xfId="0" applyAlignment="1" applyFont="1">
      <alignment vertical="bottom"/>
    </xf>
    <xf borderId="0" fillId="0" fontId="2" numFmtId="0" xfId="0" applyAlignment="1" applyFont="1">
      <alignment vertical="bottom"/>
    </xf>
    <xf borderId="0" fillId="0" fontId="1" numFmtId="0" xfId="0" applyAlignment="1" applyFont="1">
      <alignment vertical="bottom"/>
    </xf>
    <xf borderId="0" fillId="7" fontId="2" numFmtId="164" xfId="0" applyAlignment="1" applyFont="1" applyNumberFormat="1">
      <alignment vertical="bottom"/>
    </xf>
    <xf borderId="0" fillId="7" fontId="2" numFmtId="0" xfId="0" applyAlignment="1" applyFont="1">
      <alignment horizontal="right" readingOrder="0" vertical="bottom"/>
    </xf>
    <xf borderId="0" fillId="7" fontId="2" numFmtId="0" xfId="0" applyAlignment="1" applyFont="1">
      <alignment horizontal="right" readingOrder="0" shrinkToFit="0" vertical="bottom" wrapText="0"/>
    </xf>
    <xf borderId="0" fillId="7" fontId="1" numFmtId="0" xfId="0" applyAlignment="1" applyFont="1">
      <alignment readingOrder="0" vertical="top"/>
    </xf>
    <xf borderId="0" fillId="7" fontId="1" numFmtId="0" xfId="0" applyAlignment="1" applyFont="1">
      <alignment vertical="bottom"/>
    </xf>
    <xf borderId="0" fillId="7" fontId="2" numFmtId="164" xfId="0" applyAlignment="1" applyFont="1" applyNumberFormat="1">
      <alignment shrinkToFit="0" vertical="bottom" wrapText="0"/>
    </xf>
    <xf borderId="0" fillId="0" fontId="3" numFmtId="0" xfId="0" applyAlignment="1" applyFont="1">
      <alignment shrinkToFit="0" wrapText="1"/>
    </xf>
    <xf borderId="0" fillId="0" fontId="7"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0" xfId="0" applyAlignment="1" applyFont="1">
      <alignment shrinkToFit="0" vertical="bottom" wrapText="1"/>
    </xf>
    <xf borderId="0" fillId="7" fontId="2" numFmtId="0" xfId="0" applyAlignment="1" applyFont="1">
      <alignment horizontal="right" readingOrder="0" shrinkToFit="0" vertical="top" wrapText="0"/>
    </xf>
    <xf borderId="0" fillId="0" fontId="2" numFmtId="0" xfId="0" applyAlignment="1" applyFont="1">
      <alignment shrinkToFit="0" vertical="bottom" wrapText="0"/>
    </xf>
    <xf borderId="0" fillId="7" fontId="2" numFmtId="0" xfId="0" applyAlignment="1" applyFont="1">
      <alignment horizontal="right" shrinkToFit="0" vertical="bottom" wrapText="0"/>
    </xf>
    <xf borderId="0" fillId="7" fontId="2" numFmtId="0" xfId="0" applyAlignment="1" applyFont="1">
      <alignment readingOrder="0" shrinkToFit="0" vertical="top" wrapText="0"/>
    </xf>
    <xf borderId="0" fillId="7" fontId="2" numFmtId="0" xfId="0" applyAlignment="1" applyFont="1">
      <alignment readingOrder="0" shrinkToFit="0" vertical="bottom" wrapText="0"/>
    </xf>
    <xf borderId="0" fillId="7" fontId="2" numFmtId="0" xfId="0" applyAlignment="1" applyFont="1">
      <alignment shrinkToFit="0" vertical="top" wrapText="0"/>
    </xf>
    <xf borderId="0" fillId="7" fontId="2" numFmtId="0" xfId="0" applyAlignment="1" applyFont="1">
      <alignment shrinkToFit="0" vertical="bottom" wrapText="0"/>
    </xf>
    <xf borderId="0" fillId="0" fontId="8" numFmtId="0" xfId="0" applyAlignment="1" applyFont="1">
      <alignment readingOrder="0"/>
    </xf>
    <xf borderId="0" fillId="4" fontId="3" numFmtId="0" xfId="0" applyAlignment="1" applyFont="1">
      <alignment horizontal="center" readingOrder="0" vertical="center"/>
    </xf>
    <xf borderId="0" fillId="0" fontId="3" numFmtId="0" xfId="0" applyAlignment="1" applyFont="1">
      <alignment horizontal="center" vertical="center"/>
    </xf>
    <xf borderId="0" fillId="6" fontId="3" numFmtId="0" xfId="0" applyAlignment="1" applyFont="1">
      <alignment horizontal="center" readingOrder="0" shrinkToFit="0" vertical="center" wrapText="1"/>
    </xf>
    <xf borderId="0" fillId="2" fontId="3" numFmtId="0" xfId="0" applyAlignment="1" applyFont="1">
      <alignment horizontal="center" readingOrder="0" vertical="center"/>
    </xf>
    <xf borderId="0" fillId="6" fontId="3" numFmtId="0" xfId="0" applyAlignment="1" applyFont="1">
      <alignment horizontal="center" readingOrder="0" vertical="center"/>
    </xf>
    <xf borderId="0" fillId="4"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8" fontId="3" numFmtId="0" xfId="0" applyFill="1" applyFont="1"/>
    <xf borderId="0" fillId="0" fontId="3" numFmtId="0" xfId="0" applyAlignment="1" applyFont="1">
      <alignment horizontal="right" readingOrder="0"/>
    </xf>
    <xf borderId="0" fillId="0" fontId="2" numFmtId="0" xfId="0" applyAlignment="1" applyFont="1">
      <alignment vertical="bottom"/>
    </xf>
    <xf borderId="0" fillId="0" fontId="4" numFmtId="0" xfId="0" applyAlignment="1" applyFont="1">
      <alignment readingOrder="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readingOrder="0" vertical="bottom"/>
    </xf>
    <xf borderId="0" fillId="2" fontId="2" numFmtId="0" xfId="0" applyAlignment="1" applyFont="1">
      <alignment horizontal="center" readingOrder="0" vertical="center"/>
    </xf>
    <xf borderId="0" fillId="4" fontId="2" numFmtId="0" xfId="0" applyAlignment="1" applyFont="1">
      <alignment horizontal="center" readingOrder="0" vertical="center"/>
    </xf>
    <xf borderId="0" fillId="8" fontId="2" numFmtId="0" xfId="0" applyAlignment="1" applyFont="1">
      <alignment vertical="bottom"/>
    </xf>
    <xf borderId="0" fillId="8" fontId="2" numFmtId="0" xfId="0" applyAlignment="1" applyFont="1">
      <alignment vertical="bottom"/>
    </xf>
    <xf borderId="0" fillId="0" fontId="9" numFmtId="0" xfId="0" applyAlignment="1" applyFont="1">
      <alignment readingOrder="0"/>
    </xf>
    <xf borderId="0" fillId="0" fontId="10" numFmtId="0" xfId="0" applyAlignment="1" applyFont="1">
      <alignment readingOrder="0"/>
    </xf>
    <xf borderId="1" fillId="0" fontId="3" numFmtId="0" xfId="0" applyAlignment="1" applyBorder="1" applyFont="1">
      <alignment readingOrder="0"/>
    </xf>
    <xf borderId="0" fillId="0" fontId="11" numFmtId="0" xfId="0" applyAlignment="1" applyFont="1">
      <alignment readingOrder="0" vertical="bottom"/>
    </xf>
    <xf borderId="1" fillId="0" fontId="0" numFmtId="0" xfId="0" applyAlignment="1" applyBorder="1" applyFont="1">
      <alignment readingOrder="0"/>
    </xf>
    <xf borderId="0" fillId="3" fontId="3" numFmtId="0" xfId="0" applyAlignment="1" applyFont="1">
      <alignment horizontal="center" readingOrder="0" vertical="center"/>
    </xf>
    <xf borderId="0" fillId="0" fontId="4" numFmtId="0" xfId="0" applyAlignment="1" applyFont="1">
      <alignment horizontal="center" vertical="center"/>
    </xf>
    <xf borderId="0" fillId="0" fontId="12" numFmtId="0" xfId="0" applyAlignment="1" applyFont="1">
      <alignment horizontal="left" readingOrder="0" vertical="top"/>
    </xf>
    <xf borderId="0" fillId="2" fontId="3" numFmtId="0" xfId="0" applyAlignment="1" applyFont="1">
      <alignment horizontal="left" readingOrder="0" vertical="center"/>
    </xf>
    <xf borderId="0" fillId="3" fontId="3" numFmtId="0" xfId="0" applyAlignment="1" applyFont="1">
      <alignment horizontal="left" readingOrder="0" vertical="center"/>
    </xf>
    <xf borderId="0" fillId="0" fontId="3" numFmtId="2" xfId="0" applyFont="1" applyNumberFormat="1"/>
    <xf borderId="0" fillId="0" fontId="3" numFmtId="0" xfId="0" applyAlignment="1" applyFont="1">
      <alignment horizontal="center" readingOrder="0" shrinkToFit="0" vertical="center" wrapText="1"/>
    </xf>
    <xf borderId="0" fillId="4" fontId="3" numFmtId="0" xfId="0" applyAlignment="1" applyFont="1">
      <alignment horizontal="left" readingOrder="0" vertical="center"/>
    </xf>
    <xf borderId="0" fillId="5" fontId="3" numFmtId="0" xfId="0" applyAlignment="1" applyFont="1">
      <alignment horizontal="center" readingOrder="0" vertical="center"/>
    </xf>
    <xf borderId="0" fillId="3" fontId="2" numFmtId="0" xfId="0" applyAlignment="1" applyFont="1">
      <alignment horizontal="center" readingOrder="0" vertical="center"/>
    </xf>
    <xf borderId="0" fillId="0" fontId="3" numFmtId="2" xfId="0" applyAlignment="1" applyFont="1" applyNumberFormat="1">
      <alignment horizontal="center" readingOrder="0" vertical="center"/>
    </xf>
    <xf borderId="0" fillId="0" fontId="3" numFmtId="2" xfId="0" applyAlignment="1" applyFont="1" applyNumberFormat="1">
      <alignment horizontal="center" vertical="center"/>
    </xf>
    <xf borderId="1" fillId="0" fontId="13" numFmtId="0" xfId="0" applyAlignment="1" applyBorder="1" applyFont="1">
      <alignment horizontal="left" readingOrder="0" shrinkToFit="0" wrapText="1"/>
    </xf>
    <xf borderId="2" fillId="0" fontId="7" numFmtId="0" xfId="0" applyAlignment="1" applyBorder="1" applyFont="1">
      <alignment readingOrder="0"/>
    </xf>
    <xf borderId="0" fillId="0" fontId="3" numFmtId="0" xfId="0" applyAlignment="1" applyFont="1">
      <alignment readingOrder="0" shrinkToFit="0" wrapText="1"/>
    </xf>
    <xf borderId="0" fillId="3" fontId="3" numFmtId="0" xfId="0" applyAlignment="1" applyFont="1">
      <alignment readingOrder="0" shrinkToFit="0" wrapText="1"/>
    </xf>
    <xf borderId="1" fillId="0" fontId="2" numFmtId="0" xfId="0" applyAlignment="1" applyBorder="1" applyFont="1">
      <alignment readingOrder="0" vertical="bottom"/>
    </xf>
    <xf borderId="0" fillId="5" fontId="3" numFmtId="0" xfId="0" applyAlignment="1" applyFont="1">
      <alignment readingOrder="0" shrinkToFit="0" wrapText="1"/>
    </xf>
    <xf borderId="0" fillId="4" fontId="3" numFmtId="0" xfId="0" applyAlignment="1" applyFont="1">
      <alignment readingOrder="0" shrinkToFit="0" wrapText="1"/>
    </xf>
    <xf borderId="0" fillId="0" fontId="14" numFmtId="0" xfId="0" applyAlignment="1" applyFont="1">
      <alignment readingOrder="0" shrinkToFit="0" wrapText="1"/>
    </xf>
    <xf borderId="0" fillId="9" fontId="3" numFmtId="0" xfId="0" applyAlignment="1" applyFill="1" applyFont="1">
      <alignment readingOrder="0" shrinkToFit="0" wrapText="1"/>
    </xf>
    <xf borderId="0" fillId="10" fontId="3" numFmtId="0" xfId="0" applyAlignment="1" applyFill="1" applyFont="1">
      <alignment readingOrder="0" shrinkToFit="0" wrapText="1"/>
    </xf>
    <xf borderId="0" fillId="0" fontId="15" numFmtId="0" xfId="0" applyAlignment="1" applyFont="1">
      <alignment horizontal="left" readingOrder="0" vertical="top"/>
    </xf>
    <xf borderId="1" fillId="2" fontId="16" numFmtId="0" xfId="0" applyAlignment="1" applyBorder="1" applyFont="1">
      <alignment readingOrder="0"/>
    </xf>
    <xf borderId="1" fillId="2" fontId="17" numFmtId="0" xfId="0" applyAlignment="1" applyBorder="1" applyFont="1">
      <alignment readingOrder="0"/>
    </xf>
    <xf borderId="1" fillId="0" fontId="18" numFmtId="0" xfId="0" applyAlignment="1" applyBorder="1" applyFont="1">
      <alignment readingOrder="0" vertical="bottom"/>
    </xf>
    <xf borderId="1" fillId="0" fontId="15" numFmtId="0" xfId="0" applyAlignment="1" applyBorder="1" applyFont="1">
      <alignment readingOrder="0"/>
    </xf>
    <xf borderId="1" fillId="0" fontId="19" numFmtId="0" xfId="0" applyAlignment="1" applyBorder="1" applyFont="1">
      <alignment readingOrder="0"/>
    </xf>
    <xf borderId="1" fillId="11" fontId="3" numFmtId="0" xfId="0" applyAlignment="1" applyBorder="1" applyFill="1" applyFont="1">
      <alignment vertical="top"/>
    </xf>
    <xf borderId="1" fillId="0" fontId="20" numFmtId="0" xfId="0" applyAlignment="1" applyBorder="1" applyFont="1">
      <alignment readingOrder="0"/>
    </xf>
    <xf borderId="1" fillId="12" fontId="3" numFmtId="0" xfId="0" applyAlignment="1" applyBorder="1" applyFill="1" applyFont="1">
      <alignment vertical="top"/>
    </xf>
    <xf borderId="1" fillId="12" fontId="3" numFmtId="0" xfId="0" applyAlignment="1" applyBorder="1" applyFont="1">
      <alignment vertical="top"/>
    </xf>
    <xf borderId="0" fillId="13" fontId="3" numFmtId="0" xfId="0" applyFill="1" applyFont="1"/>
    <xf borderId="1" fillId="11" fontId="3" numFmtId="0" xfId="0" applyAlignment="1" applyBorder="1" applyFont="1">
      <alignment vertical="top"/>
    </xf>
    <xf borderId="0" fillId="3" fontId="21" numFmtId="0" xfId="0" applyAlignment="1" applyFont="1">
      <alignment horizontal="left" readingOrder="0"/>
    </xf>
    <xf borderId="0" fillId="2" fontId="21" numFmtId="0" xfId="0" applyAlignment="1" applyFont="1">
      <alignment horizontal="left" readingOrder="0"/>
    </xf>
    <xf borderId="1" fillId="0" fontId="22" numFmtId="0" xfId="0" applyAlignment="1" applyBorder="1" applyFont="1">
      <alignment readingOrder="0"/>
    </xf>
    <xf borderId="0" fillId="5" fontId="3" numFmtId="0" xfId="0" applyAlignment="1" applyFont="1">
      <alignment horizontal="center" vertical="center"/>
    </xf>
    <xf borderId="0" fillId="5" fontId="7" numFmtId="0" xfId="0" applyAlignment="1" applyFont="1">
      <alignment horizontal="center" readingOrder="0" vertical="center"/>
    </xf>
    <xf borderId="1" fillId="5" fontId="15" numFmtId="0" xfId="0" applyAlignment="1" applyBorder="1" applyFont="1">
      <alignment horizontal="center" readingOrder="0" vertical="center"/>
    </xf>
    <xf borderId="1" fillId="5" fontId="19" numFmtId="0" xfId="0" applyAlignment="1" applyBorder="1" applyFont="1">
      <alignment horizontal="center" readingOrder="0" vertical="center"/>
    </xf>
    <xf borderId="1" fillId="5" fontId="3" numFmtId="0" xfId="0" applyAlignment="1" applyBorder="1" applyFont="1">
      <alignment horizontal="center" vertical="center"/>
    </xf>
    <xf borderId="0" fillId="3" fontId="7" numFmtId="0" xfId="0" applyAlignment="1" applyFont="1">
      <alignment horizontal="center" readingOrder="0" vertical="center"/>
    </xf>
    <xf borderId="0" fillId="3" fontId="3" numFmtId="1" xfId="0" applyAlignment="1" applyFont="1" applyNumberFormat="1">
      <alignment horizontal="center" vertical="center"/>
    </xf>
    <xf borderId="0" fillId="3" fontId="3" numFmtId="1" xfId="0" applyFont="1" applyNumberFormat="1"/>
    <xf borderId="1" fillId="3" fontId="3" numFmtId="0" xfId="0" applyAlignment="1" applyBorder="1" applyFont="1">
      <alignment vertical="top"/>
    </xf>
    <xf borderId="1" fillId="3" fontId="15" numFmtId="165" xfId="0" applyAlignment="1" applyBorder="1" applyFont="1" applyNumberFormat="1">
      <alignment readingOrder="0"/>
    </xf>
    <xf borderId="1" fillId="3" fontId="15" numFmtId="0" xfId="0" applyAlignment="1" applyBorder="1" applyFont="1">
      <alignment readingOrder="0"/>
    </xf>
    <xf borderId="1" fillId="3" fontId="23" numFmtId="0" xfId="0" applyAlignment="1" applyBorder="1" applyFont="1">
      <alignment readingOrder="0"/>
    </xf>
    <xf borderId="1" fillId="3" fontId="20" numFmtId="0" xfId="0" applyAlignment="1" applyBorder="1" applyFont="1">
      <alignment readingOrder="0"/>
    </xf>
    <xf borderId="0" fillId="5" fontId="2" numFmtId="0" xfId="0" applyAlignment="1" applyFont="1">
      <alignment vertical="bottom"/>
    </xf>
    <xf borderId="0" fillId="3" fontId="2" numFmtId="0" xfId="0" applyAlignment="1" applyFont="1">
      <alignment vertical="bottom"/>
    </xf>
    <xf borderId="0" fillId="4" fontId="2" numFmtId="0" xfId="0" applyAlignment="1" applyFont="1">
      <alignment vertical="bottom"/>
    </xf>
    <xf borderId="0" fillId="2" fontId="2" numFmtId="0" xfId="0" applyAlignment="1" applyFont="1">
      <alignment vertical="bottom"/>
    </xf>
    <xf borderId="0" fillId="6" fontId="2" numFmtId="0" xfId="0" applyAlignment="1" applyFont="1">
      <alignment vertical="bottom"/>
    </xf>
    <xf borderId="0" fillId="5" fontId="2" numFmtId="0" xfId="0" applyAlignment="1" applyFont="1">
      <alignment horizontal="right" vertical="bottom"/>
    </xf>
    <xf borderId="0" fillId="3" fontId="2" numFmtId="0" xfId="0" applyAlignment="1" applyFont="1">
      <alignment horizontal="right" vertical="bottom"/>
    </xf>
    <xf borderId="0" fillId="4" fontId="2" numFmtId="0" xfId="0" applyAlignment="1" applyFont="1">
      <alignment horizontal="right" vertical="bottom"/>
    </xf>
    <xf borderId="0" fillId="2" fontId="2" numFmtId="0" xfId="0" applyAlignment="1" applyFont="1">
      <alignment horizontal="right" vertical="bottom"/>
    </xf>
    <xf borderId="0" fillId="6"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horizontal="right" vertical="bottom"/>
    </xf>
    <xf borderId="0" fillId="2" fontId="3" numFmtId="0" xfId="0" applyAlignment="1" applyFont="1">
      <alignment readingOrder="0" shrinkToFit="0" wrapText="1"/>
    </xf>
    <xf borderId="0" fillId="0" fontId="21" numFmtId="0" xfId="0" applyAlignment="1" applyFont="1">
      <alignment horizontal="left" readingOrder="0"/>
    </xf>
    <xf borderId="1" fillId="0" fontId="2" numFmtId="0" xfId="0" applyAlignment="1" applyBorder="1" applyFont="1">
      <alignment vertical="bottom"/>
    </xf>
    <xf borderId="1" fillId="0" fontId="3" numFmtId="0" xfId="0" applyBorder="1" applyFont="1"/>
    <xf borderId="0" fillId="2" fontId="3" numFmtId="0" xfId="0" applyAlignment="1" applyFont="1">
      <alignment horizontal="right" readingOrder="0"/>
    </xf>
    <xf borderId="0" fillId="8" fontId="3" numFmtId="0" xfId="0" applyAlignment="1" applyFont="1">
      <alignment readingOrder="0"/>
    </xf>
    <xf borderId="0" fillId="8" fontId="3" numFmtId="0" xfId="0" applyAlignment="1" applyFont="1">
      <alignment horizontal="right" readingOrder="0"/>
    </xf>
    <xf borderId="0" fillId="6" fontId="3" numFmtId="0" xfId="0" applyAlignment="1" applyFont="1">
      <alignment horizontal="right" readingOrder="0"/>
    </xf>
    <xf borderId="0" fillId="4" fontId="2" numFmtId="0" xfId="0" applyAlignment="1" applyFont="1">
      <alignment readingOrder="0" vertical="bottom"/>
    </xf>
    <xf borderId="0" fillId="4" fontId="2" numFmtId="0" xfId="0" applyAlignment="1" applyFont="1">
      <alignment horizontal="right" readingOrder="0" vertical="bottom"/>
    </xf>
    <xf borderId="0" fillId="2" fontId="2" numFmtId="0" xfId="0" applyAlignment="1" applyFont="1">
      <alignment readingOrder="0" vertical="bottom"/>
    </xf>
    <xf borderId="0" fillId="6" fontId="2" numFmtId="0" xfId="0" applyAlignment="1" applyFont="1">
      <alignment readingOrder="0" vertical="bottom"/>
    </xf>
    <xf borderId="0" fillId="8" fontId="2" numFmtId="0" xfId="0" applyAlignment="1" applyFont="1">
      <alignment horizontal="right" vertical="bottom"/>
    </xf>
    <xf borderId="0" fillId="3" fontId="3" numFmtId="2" xfId="0" applyAlignment="1" applyFont="1" applyNumberFormat="1">
      <alignment readingOrder="0"/>
    </xf>
    <xf borderId="0" fillId="4" fontId="3" numFmtId="0" xfId="0" applyAlignment="1" applyFont="1">
      <alignment horizontal="right" readingOrder="0"/>
    </xf>
    <xf borderId="0" fillId="0" fontId="3" numFmtId="0" xfId="0" applyAlignment="1" applyFont="1">
      <alignment horizontal="right"/>
    </xf>
    <xf borderId="0" fillId="5" fontId="3" numFmtId="0" xfId="0" applyAlignment="1" applyFont="1">
      <alignment horizontal="right" readingOrder="0"/>
    </xf>
    <xf borderId="0" fillId="3" fontId="3" numFmtId="0" xfId="0" applyAlignment="1" applyFont="1">
      <alignment horizontal="right" readingOrder="0"/>
    </xf>
    <xf borderId="1" fillId="0" fontId="0" numFmtId="0" xfId="0" applyAlignment="1" applyBorder="1" applyFont="1">
      <alignment horizontal="left" readingOrder="0" vertical="top"/>
    </xf>
    <xf borderId="1" fillId="0" fontId="2" numFmtId="0" xfId="0" applyAlignment="1" applyBorder="1" applyFont="1">
      <alignment readingOrder="0" vertical="top"/>
    </xf>
    <xf borderId="1" fillId="0" fontId="24" numFmtId="0" xfId="0" applyAlignment="1" applyBorder="1" applyFont="1">
      <alignment horizontal="left" readingOrder="0" vertical="top"/>
    </xf>
    <xf borderId="0" fillId="5" fontId="3" numFmtId="0" xfId="0" applyFont="1"/>
    <xf borderId="0" fillId="5" fontId="0" numFmtId="0" xfId="0" applyAlignment="1" applyFont="1">
      <alignment horizontal="left" readingOrder="0" vertical="top"/>
    </xf>
    <xf borderId="0" fillId="3" fontId="3" numFmtId="2" xfId="0" applyFont="1" applyNumberFormat="1"/>
    <xf borderId="0" fillId="0" fontId="25" numFmtId="0" xfId="0" applyAlignment="1" applyFont="1">
      <alignment readingOrder="0"/>
    </xf>
    <xf borderId="0" fillId="0" fontId="0" numFmtId="0" xfId="0" applyAlignment="1" applyFont="1">
      <alignment readingOrder="0"/>
    </xf>
    <xf borderId="0" fillId="0" fontId="26" numFmtId="0" xfId="0" applyAlignment="1" applyFont="1">
      <alignment readingOrder="0"/>
    </xf>
    <xf borderId="1" fillId="0" fontId="15" numFmtId="166" xfId="0" applyAlignment="1" applyBorder="1" applyFont="1" applyNumberFormat="1">
      <alignment readingOrder="0"/>
    </xf>
    <xf borderId="1" fillId="12" fontId="3" numFmtId="0" xfId="0" applyAlignment="1" applyBorder="1" applyFont="1">
      <alignment vertical="bottom"/>
    </xf>
    <xf borderId="1" fillId="0" fontId="15" numFmtId="164" xfId="0" applyAlignment="1" applyBorder="1" applyFont="1" applyNumberFormat="1">
      <alignment readingOrder="0"/>
    </xf>
    <xf borderId="1" fillId="0" fontId="15" numFmtId="165" xfId="0" applyAlignment="1" applyBorder="1" applyFont="1" applyNumberFormat="1">
      <alignment readingOrder="0"/>
    </xf>
    <xf borderId="1" fillId="0" fontId="23" numFmtId="0" xfId="0" applyAlignment="1" applyBorder="1" applyFont="1">
      <alignment readingOrder="0"/>
    </xf>
    <xf borderId="0" fillId="4" fontId="5" numFmtId="0" xfId="0" applyAlignment="1" applyFont="1">
      <alignment vertical="bottom"/>
    </xf>
    <xf borderId="0" fillId="5" fontId="5" numFmtId="0" xfId="0" applyAlignment="1" applyFont="1">
      <alignment vertical="bottom"/>
    </xf>
    <xf borderId="0" fillId="0" fontId="1" numFmtId="0" xfId="0" applyAlignment="1" applyFont="1">
      <alignment readingOrder="0" shrinkToFit="0" vertical="bottom" wrapText="0"/>
    </xf>
    <xf borderId="0" fillId="7" fontId="2" numFmtId="0" xfId="0" applyAlignment="1" applyFont="1">
      <alignment readingOrder="0" vertical="bottom"/>
    </xf>
    <xf borderId="0" fillId="4" fontId="4" numFmtId="0" xfId="0" applyAlignment="1" applyFont="1">
      <alignment readingOrder="0"/>
    </xf>
    <xf borderId="0" fillId="0" fontId="27" numFmtId="0" xfId="0" applyFont="1"/>
    <xf borderId="1" fillId="13" fontId="2" numFmtId="0" xfId="0" applyAlignment="1" applyBorder="1" applyFont="1">
      <alignment vertical="bottom"/>
    </xf>
    <xf borderId="0" fillId="13" fontId="7" numFmtId="0" xfId="0" applyAlignment="1" applyFont="1">
      <alignment readingOrder="0"/>
    </xf>
    <xf borderId="1" fillId="0" fontId="28" numFmtId="0" xfId="0" applyAlignment="1" applyBorder="1" applyFont="1">
      <alignment vertical="bottom"/>
    </xf>
    <xf borderId="0" fillId="3" fontId="2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'all-AdvFin-SemA'!$X$67:$X$76</c:f>
            </c:strRef>
          </c:cat>
          <c:val>
            <c:numRef>
              <c:f>'all-AdvFin-SemA'!$Y$67:$Y$76</c:f>
              <c:numCache/>
            </c:numRef>
          </c:val>
        </c:ser>
        <c:axId val="1973780589"/>
        <c:axId val="714809625"/>
      </c:barChart>
      <c:catAx>
        <c:axId val="1973780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4809625"/>
      </c:catAx>
      <c:valAx>
        <c:axId val="7148096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378058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'Previous Example'!$W$82:$W$92</c:f>
            </c:strRef>
          </c:cat>
          <c:val>
            <c:numRef>
              <c:f>'Previous Example'!$X$82:$X$92</c:f>
              <c:numCache/>
            </c:numRef>
          </c:val>
        </c:ser>
        <c:axId val="1423295063"/>
        <c:axId val="1278545273"/>
      </c:barChart>
      <c:catAx>
        <c:axId val="1423295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78545273"/>
      </c:catAx>
      <c:valAx>
        <c:axId val="12785452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29506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xdr:colOff>
      <xdr:row>63</xdr:row>
      <xdr:rowOff>161925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762000</xdr:colOff>
      <xdr:row>77</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Wai Chiu King LAI" id="{2c4e5897-e082-47c7-8e77-f2ad4f0706a3}" providerId="google-sheets"/>
  <x18tc:person displayName="Elizabeth Andre YUSUF" id="{a9be3ee9-0c7e-41b9-8130-9728bbf73475}" providerId="google-sheets"/>
  <x18tc:person displayName="Chun Yui LIANG" id="{68ec32ca-8976-44a8-b665-e1ce78b958e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5" dT="2026-04-14T13:29:53.00" personId="{68ec32ca-8976-44a8-b665-e1ce78b958e7}" id="{11c73b9a-7abf-4ebe-867b-aedde8460972}" done="0">
    <x18tc:text xml:space="preserve">Pre-rating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57" dT="2025-10-23T05:42:16.00" personId="{68ec32ca-8976-44a8-b665-e1ce78b958e7}" id="{005e9293-5895-4850-b778-41a26dbfc20d}" done="1">
    <x18tc:text xml:space="preserve">Not yet graded</x18tc:text>
  </x18tc:threadedComment>
  <x18tc:threadedComment ref="Q57" dT="2025-10-23T09:04:36.00" personId="{2c4e5897-e082-47c7-8e77-f2ad4f0706a3}" id="{cab26eef-0e00-4c1c-9bd8-b90b8705b102}" parentId="{005e9293-5895-4850-b778-41a26dbfc20d}">
    <x18tc:text xml:space="preserve">please remember to discuss it next time</x18tc:text>
  </x18tc:threadedComment>
  <x18tc:threadedComment ref="Q38" dT="2025-09-30T14:23:42.00" personId="{a9be3ee9-0c7e-41b9-8130-9728bbf73475}" id="{8729575e-9dbe-464f-a8d1-366866052bbe}" done="0">
    <x18tc:text xml:space="preserve">late</x18tc:text>
  </x18tc:threadedComment>
  <x18tc:threadedComment ref="N38" dT="2025-09-30T14:23:38.00" personId="{a9be3ee9-0c7e-41b9-8130-9728bbf73475}" id="{e48f0de2-e93f-44ee-8c0b-6899f1a6d5a5}" done="0">
    <x18tc:text xml:space="preserve">late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3.0" topLeftCell="A34" activePane="bottomLeft" state="frozen"/>
      <selection activeCell="B35" sqref="B35" pane="bottomLeft"/>
    </sheetView>
  </sheetViews>
  <sheetFormatPr customHeight="1" defaultColWidth="12.63" defaultRowHeight="15.75"/>
  <cols>
    <col customWidth="1" min="1" max="2" width="4.38"/>
    <col customWidth="1" min="3" max="3" width="13.38"/>
    <col customWidth="1" hidden="1" min="4" max="4" width="10.13"/>
    <col customWidth="1" min="5" max="5" width="13.0"/>
    <col customWidth="1" min="6" max="6" width="35.25"/>
    <col customWidth="1" min="7" max="7" width="16.38"/>
    <col customWidth="1" min="8" max="8" width="15.25"/>
    <col customWidth="1" min="9" max="9" width="18.38"/>
    <col customWidth="1" min="10" max="10" width="9.5"/>
    <col customWidth="1" min="11" max="11" width="3.63"/>
    <col customWidth="1" min="12" max="12" width="16.38"/>
    <col customWidth="1" min="13" max="13" width="18.5"/>
    <col customWidth="1" min="14" max="14" width="21.13"/>
    <col customWidth="1" min="15" max="15" width="3.5"/>
    <col customWidth="1" min="16" max="16" width="21.38"/>
    <col customWidth="1" min="17" max="17" width="14.88"/>
    <col customWidth="1" min="18" max="18" width="13.0"/>
    <col customWidth="1" min="19" max="19" width="4.38"/>
    <col customWidth="1" min="20" max="20" width="13.38"/>
    <col customWidth="1" min="21" max="21" width="4.5"/>
    <col customWidth="1" min="22" max="22" width="11.63"/>
    <col customWidth="1" min="23" max="23" width="6.88"/>
    <col customWidth="1" min="24" max="24" width="8.0"/>
    <col customWidth="1" min="25" max="25" width="7.38"/>
    <col customWidth="1" min="26" max="26" width="4.75"/>
  </cols>
  <sheetData>
    <row r="1">
      <c r="C1" s="1" t="s">
        <v>0</v>
      </c>
    </row>
    <row r="2">
      <c r="C2" s="2" t="s">
        <v>1</v>
      </c>
    </row>
    <row r="3">
      <c r="C3" s="1" t="s">
        <v>2</v>
      </c>
    </row>
    <row r="4">
      <c r="C4" s="3" t="s">
        <v>3</v>
      </c>
    </row>
    <row r="5">
      <c r="C5" s="4" t="s">
        <v>4</v>
      </c>
      <c r="D5" s="5"/>
      <c r="E5" s="6"/>
      <c r="F5" s="6"/>
      <c r="G5" s="6"/>
      <c r="H5" s="6"/>
      <c r="I5" s="6"/>
    </row>
    <row r="6">
      <c r="C6" s="4" t="s">
        <v>5</v>
      </c>
      <c r="D6" s="5"/>
      <c r="E6" s="6"/>
      <c r="F6" s="6"/>
      <c r="G6" s="6"/>
      <c r="H6" s="6"/>
      <c r="I6" s="6"/>
      <c r="S6" s="7" t="s">
        <v>6</v>
      </c>
    </row>
    <row r="7">
      <c r="A7" s="8"/>
      <c r="B7" s="8"/>
      <c r="C7" s="9"/>
      <c r="D7" s="10"/>
      <c r="E7" s="9"/>
      <c r="F7" s="9"/>
      <c r="G7" s="9"/>
      <c r="H7" s="9"/>
      <c r="I7" s="9"/>
      <c r="J7" s="8"/>
      <c r="K7" s="8"/>
      <c r="L7" s="8"/>
      <c r="M7" s="8"/>
      <c r="N7" s="8"/>
      <c r="O7" s="8"/>
      <c r="P7" s="8"/>
      <c r="Q7" s="11" t="s">
        <v>7</v>
      </c>
      <c r="R7" s="12" t="s">
        <v>8</v>
      </c>
      <c r="S7" s="7" t="s">
        <v>9</v>
      </c>
      <c r="T7" s="13" t="s">
        <v>10</v>
      </c>
      <c r="U7" s="14" t="s">
        <v>11</v>
      </c>
      <c r="V7" s="14" t="s">
        <v>12</v>
      </c>
      <c r="X7" s="8"/>
      <c r="Y7" s="8"/>
      <c r="Z7" s="8"/>
      <c r="AA7" s="8"/>
      <c r="AB7" s="8"/>
      <c r="AC7" s="8"/>
      <c r="AD7" s="8"/>
      <c r="AE7" s="8"/>
      <c r="AF7" s="8"/>
    </row>
    <row r="8">
      <c r="C8" s="15" t="s">
        <v>13</v>
      </c>
      <c r="D8" s="16"/>
      <c r="E8" s="17"/>
      <c r="F8" s="17"/>
      <c r="G8" s="17"/>
      <c r="H8" s="17"/>
      <c r="I8" s="17"/>
      <c r="J8" s="18"/>
      <c r="Q8" s="11">
        <v>5.0</v>
      </c>
      <c r="R8" s="12">
        <v>4.0</v>
      </c>
      <c r="S8" s="7">
        <v>3.0</v>
      </c>
      <c r="T8" s="13">
        <v>2.0</v>
      </c>
      <c r="U8" s="14">
        <v>1.0</v>
      </c>
      <c r="V8" s="14">
        <v>0.0</v>
      </c>
    </row>
    <row r="9">
      <c r="C9" s="19"/>
      <c r="E9" s="19"/>
      <c r="F9" s="19"/>
      <c r="G9" s="19"/>
      <c r="H9" s="19"/>
      <c r="I9" s="19"/>
      <c r="T9" s="19" t="s">
        <v>14</v>
      </c>
    </row>
    <row r="10">
      <c r="C10" s="19"/>
      <c r="E10" s="19"/>
      <c r="F10" s="19"/>
      <c r="G10" s="19"/>
      <c r="H10" s="19"/>
      <c r="I10" s="19"/>
    </row>
    <row r="11" hidden="1">
      <c r="A11" s="20"/>
      <c r="B11" s="20"/>
      <c r="C11" s="21"/>
      <c r="D11" s="20"/>
      <c r="E11" s="21"/>
      <c r="F11" s="21"/>
      <c r="G11" s="21"/>
      <c r="H11" s="21"/>
      <c r="I11" s="21" t="s">
        <v>15</v>
      </c>
      <c r="J11" s="20"/>
      <c r="K11" s="20"/>
      <c r="L11" s="20"/>
      <c r="M11" s="20"/>
      <c r="N11" s="20"/>
      <c r="O11" s="20"/>
      <c r="P11" s="20"/>
      <c r="Q11" s="20"/>
      <c r="R11" s="20"/>
      <c r="S11" s="20"/>
      <c r="T11" s="20"/>
      <c r="U11" s="20"/>
      <c r="V11" s="20"/>
      <c r="W11" s="20"/>
      <c r="X11" s="20"/>
      <c r="Y11" s="20"/>
      <c r="Z11" s="20"/>
      <c r="AA11" s="20"/>
      <c r="AB11" s="20"/>
      <c r="AC11" s="20"/>
      <c r="AD11" s="20"/>
      <c r="AE11" s="20"/>
      <c r="AF11" s="20"/>
    </row>
    <row r="12" ht="26.25" hidden="1" customHeight="1">
      <c r="A12" s="20"/>
      <c r="B12" s="20"/>
      <c r="C12" s="21" t="s">
        <v>16</v>
      </c>
      <c r="D12" s="20"/>
      <c r="E12" s="21"/>
      <c r="F12" s="21" t="s">
        <v>17</v>
      </c>
      <c r="G12" s="21" t="s">
        <v>18</v>
      </c>
      <c r="H12" s="21" t="s">
        <v>19</v>
      </c>
      <c r="I12" s="21" t="s">
        <v>20</v>
      </c>
      <c r="J12" s="21" t="s">
        <v>21</v>
      </c>
      <c r="K12" s="21" t="s">
        <v>22</v>
      </c>
      <c r="L12" s="21" t="s">
        <v>23</v>
      </c>
      <c r="M12" s="21" t="s">
        <v>24</v>
      </c>
      <c r="N12" s="21"/>
      <c r="O12" s="21" t="s">
        <v>25</v>
      </c>
      <c r="P12" s="21" t="s">
        <v>25</v>
      </c>
      <c r="Q12" s="21" t="s">
        <v>26</v>
      </c>
      <c r="R12" s="21"/>
      <c r="S12" s="21" t="s">
        <v>27</v>
      </c>
      <c r="T12" s="21" t="s">
        <v>28</v>
      </c>
      <c r="U12" s="20"/>
      <c r="V12" s="20"/>
      <c r="W12" s="20"/>
      <c r="X12" s="20"/>
      <c r="Y12" s="20"/>
      <c r="Z12" s="20"/>
      <c r="AA12" s="20"/>
      <c r="AB12" s="20"/>
      <c r="AC12" s="20"/>
      <c r="AD12" s="20"/>
      <c r="AE12" s="20"/>
      <c r="AF12" s="20"/>
    </row>
    <row r="13" hidden="1">
      <c r="B13" s="22">
        <v>1.0</v>
      </c>
      <c r="C13" s="23" t="s">
        <v>29</v>
      </c>
      <c r="D13" s="22">
        <v>5.6676719E7</v>
      </c>
      <c r="E13" s="22"/>
      <c r="F13" s="22">
        <v>3.0</v>
      </c>
      <c r="G13" s="23" t="s">
        <v>30</v>
      </c>
      <c r="H13" s="23" t="s">
        <v>31</v>
      </c>
      <c r="I13" s="19">
        <v>3.0</v>
      </c>
    </row>
    <row r="14" hidden="1">
      <c r="B14" s="24">
        <v>2.0</v>
      </c>
      <c r="C14" s="25" t="s">
        <v>32</v>
      </c>
      <c r="D14" s="24">
        <v>5.7196598E7</v>
      </c>
      <c r="E14" s="24"/>
      <c r="F14" s="24">
        <v>8.0</v>
      </c>
      <c r="G14" s="25" t="s">
        <v>33</v>
      </c>
      <c r="H14" s="25" t="s">
        <v>31</v>
      </c>
      <c r="I14" s="19">
        <v>3.0</v>
      </c>
    </row>
    <row r="15" hidden="1">
      <c r="B15" s="24">
        <v>3.0</v>
      </c>
      <c r="C15" s="25" t="s">
        <v>34</v>
      </c>
      <c r="D15" s="24">
        <v>5.7848199E7</v>
      </c>
      <c r="E15" s="24"/>
      <c r="F15" s="24">
        <v>6.0</v>
      </c>
      <c r="G15" s="25" t="s">
        <v>35</v>
      </c>
      <c r="H15" s="25" t="s">
        <v>31</v>
      </c>
      <c r="I15" s="19">
        <v>3.0</v>
      </c>
    </row>
    <row r="16" hidden="1">
      <c r="B16" s="26"/>
      <c r="C16" s="26"/>
      <c r="D16" s="26"/>
      <c r="E16" s="26"/>
      <c r="F16" s="26"/>
      <c r="G16" s="26"/>
      <c r="H16" s="26"/>
    </row>
    <row r="17" hidden="1">
      <c r="B17" s="26"/>
      <c r="C17" s="27" t="s">
        <v>36</v>
      </c>
      <c r="D17" s="26"/>
      <c r="E17" s="26"/>
      <c r="F17" s="26"/>
      <c r="G17" s="26"/>
      <c r="H17" s="26"/>
    </row>
    <row r="18" hidden="1">
      <c r="B18" s="24">
        <v>1.0</v>
      </c>
      <c r="C18" s="25" t="s">
        <v>37</v>
      </c>
      <c r="D18" s="24">
        <v>5.784216E7</v>
      </c>
      <c r="E18" s="24"/>
      <c r="F18" s="24">
        <v>10.0</v>
      </c>
      <c r="G18" s="25" t="s">
        <v>38</v>
      </c>
      <c r="H18" s="25" t="s">
        <v>39</v>
      </c>
      <c r="I18" s="19">
        <v>3.0</v>
      </c>
    </row>
    <row r="19" hidden="1">
      <c r="B19" s="24">
        <v>2.0</v>
      </c>
      <c r="C19" s="25" t="s">
        <v>40</v>
      </c>
      <c r="D19" s="24">
        <v>5.782755E7</v>
      </c>
      <c r="E19" s="24"/>
      <c r="F19" s="24">
        <v>7.0</v>
      </c>
      <c r="G19" s="25" t="s">
        <v>41</v>
      </c>
      <c r="H19" s="25" t="s">
        <v>39</v>
      </c>
      <c r="I19" s="19">
        <v>3.0</v>
      </c>
    </row>
    <row r="20" hidden="1">
      <c r="B20" s="26"/>
      <c r="C20" s="26"/>
      <c r="D20" s="26"/>
      <c r="E20" s="26"/>
      <c r="F20" s="26"/>
      <c r="G20" s="26"/>
      <c r="H20" s="26"/>
    </row>
    <row r="21" hidden="1">
      <c r="B21" s="26"/>
      <c r="C21" s="27" t="s">
        <v>42</v>
      </c>
      <c r="D21" s="26"/>
      <c r="E21" s="26"/>
      <c r="F21" s="26"/>
      <c r="G21" s="26"/>
      <c r="H21" s="26"/>
    </row>
    <row r="22" hidden="1">
      <c r="B22" s="24">
        <v>1.0</v>
      </c>
      <c r="C22" s="28" t="s">
        <v>43</v>
      </c>
      <c r="D22" s="24">
        <v>5.7254164E7</v>
      </c>
      <c r="E22" s="24"/>
      <c r="F22" s="24">
        <v>8.0</v>
      </c>
      <c r="G22" s="25" t="s">
        <v>44</v>
      </c>
      <c r="H22" s="25" t="s">
        <v>45</v>
      </c>
      <c r="I22" s="19">
        <v>3.0</v>
      </c>
    </row>
    <row r="23" hidden="1">
      <c r="B23" s="24">
        <v>2.0</v>
      </c>
      <c r="C23" s="28" t="s">
        <v>46</v>
      </c>
      <c r="D23" s="24">
        <v>5.7213538E7</v>
      </c>
      <c r="E23" s="24"/>
      <c r="F23" s="24">
        <v>1.0</v>
      </c>
      <c r="G23" s="25" t="s">
        <v>47</v>
      </c>
      <c r="H23" s="25" t="s">
        <v>45</v>
      </c>
      <c r="I23" s="19">
        <v>4.0</v>
      </c>
    </row>
    <row r="24" hidden="1">
      <c r="B24" s="26"/>
      <c r="C24" s="26"/>
      <c r="D24" s="26"/>
      <c r="E24" s="26"/>
      <c r="F24" s="26"/>
      <c r="G24" s="26"/>
      <c r="H24" s="26"/>
    </row>
    <row r="25" hidden="1">
      <c r="B25" s="26"/>
      <c r="C25" s="27" t="s">
        <v>48</v>
      </c>
      <c r="D25" s="26"/>
      <c r="E25" s="26"/>
      <c r="F25" s="26"/>
      <c r="G25" s="26"/>
      <c r="H25" s="26"/>
    </row>
    <row r="26" hidden="1">
      <c r="B26" s="24">
        <v>1.0</v>
      </c>
      <c r="C26" s="25" t="s">
        <v>49</v>
      </c>
      <c r="D26" s="24">
        <v>5.7856102E7</v>
      </c>
      <c r="E26" s="24"/>
      <c r="F26" s="24">
        <v>2.0</v>
      </c>
      <c r="G26" s="25" t="s">
        <v>50</v>
      </c>
      <c r="H26" s="25" t="s">
        <v>48</v>
      </c>
      <c r="I26" s="19">
        <v>3.0</v>
      </c>
    </row>
    <row r="27" hidden="1">
      <c r="B27" s="26"/>
      <c r="C27" s="26"/>
      <c r="D27" s="26"/>
      <c r="E27" s="26"/>
      <c r="F27" s="26"/>
      <c r="G27" s="26"/>
      <c r="H27" s="26"/>
    </row>
    <row r="28" hidden="1">
      <c r="B28" s="26"/>
      <c r="C28" s="27" t="s">
        <v>51</v>
      </c>
      <c r="D28" s="26"/>
      <c r="E28" s="26"/>
      <c r="F28" s="26"/>
      <c r="G28" s="26"/>
      <c r="H28" s="26"/>
    </row>
    <row r="29" hidden="1">
      <c r="B29" s="24">
        <v>1.0</v>
      </c>
      <c r="C29" s="25" t="s">
        <v>52</v>
      </c>
      <c r="D29" s="24">
        <v>5.7853924E7</v>
      </c>
      <c r="E29" s="24"/>
      <c r="F29" s="24">
        <v>5.0</v>
      </c>
      <c r="G29" s="25" t="s">
        <v>53</v>
      </c>
      <c r="H29" s="25" t="s">
        <v>54</v>
      </c>
      <c r="I29" s="19">
        <v>3.0</v>
      </c>
    </row>
    <row r="30">
      <c r="G30" s="21" t="s">
        <v>55</v>
      </c>
      <c r="H30" s="21" t="s">
        <v>56</v>
      </c>
      <c r="I30" s="20"/>
      <c r="J30" s="20"/>
      <c r="K30" s="20"/>
      <c r="L30" s="21" t="s">
        <v>57</v>
      </c>
      <c r="M30" s="20"/>
      <c r="N30" s="20"/>
      <c r="O30" s="20"/>
      <c r="P30" s="21" t="s">
        <v>58</v>
      </c>
      <c r="Q30" s="20"/>
      <c r="R30" s="20"/>
      <c r="S30" s="20"/>
      <c r="T30" s="21" t="s">
        <v>59</v>
      </c>
      <c r="U30" s="20"/>
      <c r="V30" s="21"/>
      <c r="X30" s="21" t="s">
        <v>60</v>
      </c>
    </row>
    <row r="31">
      <c r="E31" s="20"/>
      <c r="F31" s="20"/>
      <c r="G31" s="20"/>
      <c r="H31" s="22">
        <v>1.0</v>
      </c>
      <c r="I31" s="24">
        <v>2.0</v>
      </c>
      <c r="J31" s="24">
        <v>3.0</v>
      </c>
      <c r="K31" s="26"/>
      <c r="L31" s="24">
        <v>1.0</v>
      </c>
      <c r="M31" s="24">
        <v>2.0</v>
      </c>
      <c r="N31" s="29">
        <v>3.0</v>
      </c>
      <c r="O31" s="26"/>
      <c r="P31" s="24">
        <v>1.0</v>
      </c>
      <c r="Q31" s="24">
        <v>2.0</v>
      </c>
      <c r="R31" s="30">
        <v>3.0</v>
      </c>
      <c r="S31" s="26"/>
      <c r="T31" s="24">
        <v>1.0</v>
      </c>
      <c r="U31" s="26"/>
      <c r="V31" s="24"/>
    </row>
    <row r="32">
      <c r="E32" s="21"/>
      <c r="F32" s="21"/>
      <c r="G32" s="21"/>
      <c r="H32" s="31" t="s">
        <v>61</v>
      </c>
      <c r="I32" s="25"/>
      <c r="J32" s="25"/>
      <c r="K32" s="26"/>
      <c r="L32" s="32" t="s">
        <v>36</v>
      </c>
      <c r="M32" s="25"/>
      <c r="N32" s="25"/>
      <c r="O32" s="26"/>
      <c r="P32" s="32" t="s">
        <v>42</v>
      </c>
      <c r="Q32" s="28"/>
      <c r="R32" s="33"/>
      <c r="S32" s="26"/>
      <c r="T32" s="32" t="s">
        <v>48</v>
      </c>
      <c r="U32" s="26"/>
      <c r="V32" s="32"/>
    </row>
    <row r="33">
      <c r="A33" s="34"/>
      <c r="B33" s="34"/>
      <c r="C33" s="34"/>
      <c r="D33" s="34"/>
      <c r="E33" s="35"/>
      <c r="F33" s="35"/>
      <c r="G33" s="21" t="s">
        <v>16</v>
      </c>
      <c r="H33" s="36" t="s">
        <v>62</v>
      </c>
      <c r="I33" s="37" t="s">
        <v>63</v>
      </c>
      <c r="J33" s="37" t="s">
        <v>64</v>
      </c>
      <c r="K33" s="38"/>
      <c r="L33" s="37" t="s">
        <v>65</v>
      </c>
      <c r="M33" s="37" t="s">
        <v>66</v>
      </c>
      <c r="N33" s="37" t="s">
        <v>67</v>
      </c>
      <c r="O33" s="38"/>
      <c r="P33" s="39" t="s">
        <v>68</v>
      </c>
      <c r="Q33" s="37" t="s">
        <v>69</v>
      </c>
      <c r="R33" s="37" t="s">
        <v>70</v>
      </c>
      <c r="S33" s="38"/>
      <c r="T33" s="37" t="s">
        <v>71</v>
      </c>
      <c r="U33" s="38"/>
      <c r="V33" s="37"/>
      <c r="W33" s="34"/>
      <c r="X33" s="34"/>
      <c r="Y33" s="34"/>
      <c r="Z33" s="34"/>
      <c r="AA33" s="34"/>
      <c r="AB33" s="34"/>
      <c r="AC33" s="34"/>
      <c r="AD33" s="34"/>
      <c r="AE33" s="34"/>
      <c r="AF33" s="34"/>
    </row>
    <row r="34">
      <c r="E34" s="20"/>
      <c r="F34" s="20"/>
      <c r="G34" s="21" t="s">
        <v>72</v>
      </c>
      <c r="H34" s="40">
        <v>2.0</v>
      </c>
      <c r="I34" s="30">
        <v>2.0</v>
      </c>
      <c r="J34" s="30">
        <v>2.0</v>
      </c>
      <c r="K34" s="41"/>
      <c r="L34" s="30">
        <v>2.0</v>
      </c>
      <c r="M34" s="30">
        <v>2.0</v>
      </c>
      <c r="N34" s="30">
        <v>2.0</v>
      </c>
      <c r="O34" s="41"/>
      <c r="P34" s="42">
        <v>3.0</v>
      </c>
      <c r="Q34" s="30">
        <v>3.0</v>
      </c>
      <c r="R34" s="30">
        <v>3.0</v>
      </c>
      <c r="S34" s="41"/>
      <c r="T34" s="30">
        <v>3.0</v>
      </c>
      <c r="U34" s="41"/>
      <c r="V34" s="30"/>
    </row>
    <row r="35">
      <c r="E35" s="21"/>
      <c r="F35" s="21"/>
      <c r="G35" s="21" t="s">
        <v>73</v>
      </c>
      <c r="H35" s="40" t="s">
        <v>47</v>
      </c>
      <c r="I35" s="30" t="s">
        <v>74</v>
      </c>
      <c r="J35" s="30" t="s">
        <v>75</v>
      </c>
      <c r="K35" s="41"/>
      <c r="L35" s="30" t="s">
        <v>76</v>
      </c>
      <c r="M35" s="30" t="s">
        <v>76</v>
      </c>
      <c r="N35" s="30" t="s">
        <v>77</v>
      </c>
      <c r="O35" s="41"/>
      <c r="P35" s="42" t="s">
        <v>78</v>
      </c>
      <c r="Q35" s="30" t="s">
        <v>79</v>
      </c>
      <c r="R35" s="30" t="s">
        <v>80</v>
      </c>
      <c r="S35" s="41"/>
      <c r="T35" s="30" t="s">
        <v>81</v>
      </c>
      <c r="U35" s="41"/>
      <c r="V35" s="30"/>
    </row>
    <row r="36">
      <c r="E36" s="21"/>
      <c r="F36" s="21"/>
      <c r="G36" s="21" t="s">
        <v>18</v>
      </c>
      <c r="H36" s="43">
        <v>1.0</v>
      </c>
      <c r="I36" s="44">
        <v>8.0</v>
      </c>
      <c r="J36" s="44">
        <v>5.0</v>
      </c>
      <c r="K36" s="41"/>
      <c r="L36" s="44">
        <v>3.0</v>
      </c>
      <c r="M36" s="44">
        <v>3.0</v>
      </c>
      <c r="N36" s="44">
        <v>10.0</v>
      </c>
      <c r="O36" s="41"/>
      <c r="P36" s="42">
        <v>3.0</v>
      </c>
      <c r="Q36" s="44">
        <v>3.0</v>
      </c>
      <c r="R36" s="44">
        <v>7.0</v>
      </c>
      <c r="S36" s="41"/>
      <c r="T36" s="44">
        <v>2.0</v>
      </c>
      <c r="U36" s="41"/>
      <c r="V36" s="44"/>
    </row>
    <row r="37">
      <c r="E37" s="21" t="s">
        <v>55</v>
      </c>
      <c r="F37" s="21" t="s">
        <v>15</v>
      </c>
      <c r="G37" s="21" t="s">
        <v>19</v>
      </c>
      <c r="H37" s="45" t="s">
        <v>31</v>
      </c>
      <c r="I37" s="46" t="s">
        <v>31</v>
      </c>
      <c r="J37" s="46" t="s">
        <v>31</v>
      </c>
      <c r="K37" s="41"/>
      <c r="L37" s="46" t="s">
        <v>39</v>
      </c>
      <c r="M37" s="46" t="s">
        <v>39</v>
      </c>
      <c r="N37" s="46" t="s">
        <v>39</v>
      </c>
      <c r="O37" s="41"/>
      <c r="P37" s="44" t="s">
        <v>42</v>
      </c>
      <c r="Q37" s="44" t="s">
        <v>42</v>
      </c>
      <c r="R37" s="44" t="s">
        <v>42</v>
      </c>
      <c r="S37" s="41"/>
      <c r="T37" s="46" t="s">
        <v>48</v>
      </c>
      <c r="U37" s="41"/>
      <c r="V37" s="46"/>
    </row>
    <row r="38">
      <c r="C38" s="47" t="s">
        <v>82</v>
      </c>
      <c r="E38" s="19" t="s">
        <v>83</v>
      </c>
      <c r="F38" s="19" t="s">
        <v>84</v>
      </c>
      <c r="H38" s="48">
        <v>3.0</v>
      </c>
      <c r="I38" s="48">
        <v>3.0</v>
      </c>
      <c r="J38" s="48">
        <v>3.0</v>
      </c>
      <c r="K38" s="49"/>
      <c r="L38" s="48">
        <v>3.0</v>
      </c>
      <c r="M38" s="48">
        <v>3.0</v>
      </c>
      <c r="N38" s="48">
        <v>3.0</v>
      </c>
      <c r="O38" s="49"/>
      <c r="P38" s="48">
        <v>3.0</v>
      </c>
      <c r="Q38" s="50" t="s">
        <v>85</v>
      </c>
      <c r="R38" s="48">
        <v>3.0</v>
      </c>
      <c r="S38" s="49"/>
      <c r="T38" s="48">
        <v>3.0</v>
      </c>
    </row>
    <row r="39">
      <c r="C39" s="47"/>
      <c r="E39" s="19" t="s">
        <v>86</v>
      </c>
      <c r="F39" s="19" t="s">
        <v>87</v>
      </c>
      <c r="H39" s="51">
        <v>2.0</v>
      </c>
      <c r="I39" s="48">
        <v>3.0</v>
      </c>
      <c r="J39" s="48">
        <v>3.0</v>
      </c>
      <c r="K39" s="49"/>
      <c r="L39" s="48">
        <v>3.0</v>
      </c>
      <c r="M39" s="52">
        <v>1.0</v>
      </c>
      <c r="N39" s="48">
        <v>3.0</v>
      </c>
      <c r="O39" s="49"/>
      <c r="P39" s="48">
        <v>3.0</v>
      </c>
      <c r="Q39" s="53">
        <v>3.0</v>
      </c>
      <c r="R39" s="48">
        <v>3.0</v>
      </c>
      <c r="S39" s="49"/>
      <c r="T39" s="48">
        <v>3.0</v>
      </c>
    </row>
    <row r="40" ht="16.5" customHeight="1">
      <c r="E40" s="19" t="s">
        <v>56</v>
      </c>
      <c r="F40" s="19" t="s">
        <v>88</v>
      </c>
      <c r="H40" s="48">
        <v>3.0</v>
      </c>
      <c r="I40" s="48">
        <v>3.0</v>
      </c>
      <c r="J40" s="48">
        <v>3.0</v>
      </c>
      <c r="K40" s="49"/>
      <c r="L40" s="48">
        <v>3.0</v>
      </c>
      <c r="M40" s="52">
        <v>0.0</v>
      </c>
      <c r="N40" s="48">
        <v>3.0</v>
      </c>
      <c r="O40" s="49"/>
      <c r="P40" s="48">
        <v>3.0</v>
      </c>
      <c r="Q40" s="48">
        <v>3.0</v>
      </c>
      <c r="R40" s="48">
        <v>3.0</v>
      </c>
      <c r="S40" s="49"/>
      <c r="T40" s="48">
        <v>3.0</v>
      </c>
    </row>
    <row r="41" ht="32.25" customHeight="1">
      <c r="E41" s="19" t="s">
        <v>83</v>
      </c>
      <c r="F41" s="19" t="s">
        <v>89</v>
      </c>
      <c r="H41" s="51" t="s">
        <v>90</v>
      </c>
      <c r="I41" s="48">
        <v>3.0</v>
      </c>
      <c r="J41" s="48">
        <v>3.0</v>
      </c>
      <c r="K41" s="49"/>
      <c r="L41" s="48">
        <v>3.0</v>
      </c>
      <c r="M41" s="48">
        <v>3.0</v>
      </c>
      <c r="N41" s="48">
        <v>3.0</v>
      </c>
      <c r="O41" s="49"/>
      <c r="P41" s="48">
        <v>3.0</v>
      </c>
      <c r="Q41" s="48">
        <v>3.0</v>
      </c>
      <c r="R41" s="48">
        <v>3.0</v>
      </c>
      <c r="S41" s="49"/>
      <c r="T41" s="50" t="s">
        <v>91</v>
      </c>
    </row>
    <row r="42" ht="16.5" customHeight="1">
      <c r="E42" s="19" t="s">
        <v>83</v>
      </c>
      <c r="F42" s="19" t="s">
        <v>92</v>
      </c>
      <c r="H42" s="49"/>
      <c r="I42" s="49"/>
      <c r="J42" s="49"/>
      <c r="K42" s="49"/>
      <c r="L42" s="49"/>
      <c r="M42" s="49"/>
      <c r="N42" s="49"/>
      <c r="O42" s="49"/>
      <c r="P42" s="49"/>
      <c r="Q42" s="54"/>
      <c r="R42" s="49"/>
      <c r="S42" s="49"/>
      <c r="T42" s="49"/>
    </row>
    <row r="43" ht="16.5" customHeight="1">
      <c r="A43" s="55"/>
      <c r="B43" s="55"/>
      <c r="C43" s="55"/>
      <c r="D43" s="55"/>
      <c r="E43" s="55"/>
      <c r="F43" s="55"/>
      <c r="G43" s="19"/>
      <c r="H43" s="54"/>
      <c r="I43" s="49"/>
      <c r="J43" s="54"/>
      <c r="K43" s="49"/>
      <c r="L43" s="49"/>
      <c r="M43" s="49"/>
      <c r="N43" s="49"/>
      <c r="O43" s="49"/>
      <c r="P43" s="49"/>
      <c r="Q43" s="54"/>
      <c r="R43" s="49"/>
      <c r="S43" s="49"/>
      <c r="T43" s="54"/>
      <c r="V43" s="56"/>
      <c r="W43" s="55"/>
      <c r="X43" s="55"/>
      <c r="Y43" s="55"/>
      <c r="Z43" s="55"/>
      <c r="AA43" s="55"/>
      <c r="AB43" s="55"/>
      <c r="AC43" s="55"/>
      <c r="AD43" s="55"/>
      <c r="AE43" s="55"/>
      <c r="AF43" s="55"/>
    </row>
    <row r="44" ht="16.5" customHeight="1">
      <c r="E44" s="19" t="s">
        <v>86</v>
      </c>
      <c r="F44" s="19" t="s">
        <v>93</v>
      </c>
      <c r="H44" s="49"/>
      <c r="I44" s="49"/>
      <c r="J44" s="49"/>
      <c r="K44" s="49"/>
      <c r="L44" s="49"/>
      <c r="M44" s="49"/>
      <c r="N44" s="49"/>
      <c r="O44" s="49"/>
      <c r="P44" s="49"/>
      <c r="Q44" s="49"/>
      <c r="R44" s="49"/>
      <c r="S44" s="49"/>
      <c r="T44" s="48">
        <v>2.0</v>
      </c>
    </row>
    <row r="45" ht="16.5" customHeight="1">
      <c r="E45" s="19" t="s">
        <v>86</v>
      </c>
      <c r="F45" s="19" t="s">
        <v>94</v>
      </c>
      <c r="H45" s="49"/>
      <c r="I45" s="49"/>
      <c r="J45" s="49"/>
      <c r="K45" s="49"/>
      <c r="L45" s="49"/>
      <c r="M45" s="49"/>
      <c r="N45" s="49"/>
      <c r="O45" s="49"/>
      <c r="P45" s="54"/>
      <c r="Q45" s="49"/>
      <c r="R45" s="48">
        <v>2.0</v>
      </c>
      <c r="S45" s="49"/>
      <c r="T45" s="54"/>
    </row>
    <row r="46" ht="16.5" customHeight="1">
      <c r="A46" s="26"/>
      <c r="B46" s="26"/>
      <c r="C46" s="57"/>
      <c r="D46" s="26"/>
      <c r="E46" s="19" t="s">
        <v>86</v>
      </c>
      <c r="F46" s="58" t="s">
        <v>95</v>
      </c>
      <c r="G46" s="26"/>
      <c r="H46" s="59"/>
      <c r="I46" s="59"/>
      <c r="J46" s="59"/>
      <c r="K46" s="59"/>
      <c r="L46" s="60"/>
      <c r="M46" s="59"/>
      <c r="N46" s="59"/>
      <c r="O46" s="59"/>
      <c r="P46" s="60"/>
      <c r="Q46" s="59"/>
      <c r="R46" s="59"/>
      <c r="S46" s="59"/>
      <c r="T46" s="60"/>
      <c r="U46" s="26"/>
      <c r="V46" s="57"/>
      <c r="W46" s="26"/>
      <c r="X46" s="26"/>
      <c r="Y46" s="26"/>
      <c r="Z46" s="26"/>
      <c r="AA46" s="26"/>
      <c r="AB46" s="26"/>
      <c r="AC46" s="26"/>
      <c r="AD46" s="26"/>
      <c r="AE46" s="26"/>
      <c r="AF46" s="26"/>
    </row>
    <row r="47" ht="16.5" customHeight="1">
      <c r="A47" s="26"/>
      <c r="B47" s="26"/>
      <c r="C47" s="57"/>
      <c r="D47" s="26"/>
      <c r="E47" s="19" t="s">
        <v>86</v>
      </c>
      <c r="F47" s="61" t="s">
        <v>96</v>
      </c>
      <c r="G47" s="26"/>
      <c r="H47" s="62">
        <v>1.0</v>
      </c>
      <c r="I47" s="60"/>
      <c r="J47" s="59"/>
      <c r="K47" s="59"/>
      <c r="L47" s="59"/>
      <c r="M47" s="59"/>
      <c r="N47" s="59"/>
      <c r="O47" s="59"/>
      <c r="P47" s="59"/>
      <c r="Q47" s="59"/>
      <c r="R47" s="59"/>
      <c r="S47" s="59"/>
      <c r="T47" s="59"/>
      <c r="U47" s="26"/>
      <c r="V47" s="57"/>
      <c r="W47" s="26"/>
      <c r="X47" s="26"/>
      <c r="Y47" s="26"/>
      <c r="Z47" s="26"/>
      <c r="AA47" s="26"/>
      <c r="AB47" s="26"/>
      <c r="AC47" s="26"/>
      <c r="AD47" s="26"/>
      <c r="AE47" s="26"/>
      <c r="AF47" s="26"/>
    </row>
    <row r="48" ht="16.5" customHeight="1">
      <c r="A48" s="26"/>
      <c r="B48" s="26"/>
      <c r="C48" s="57"/>
      <c r="D48" s="26"/>
      <c r="E48" s="19" t="s">
        <v>86</v>
      </c>
      <c r="F48" s="61" t="s">
        <v>97</v>
      </c>
      <c r="G48" s="26"/>
      <c r="H48" s="59"/>
      <c r="I48" s="59"/>
      <c r="J48" s="62" t="s">
        <v>98</v>
      </c>
      <c r="K48" s="59"/>
      <c r="L48" s="59"/>
      <c r="M48" s="59"/>
      <c r="N48" s="59"/>
      <c r="O48" s="59"/>
      <c r="P48" s="59"/>
      <c r="Q48" s="59"/>
      <c r="R48" s="60"/>
      <c r="S48" s="59"/>
      <c r="T48" s="59"/>
      <c r="U48" s="26"/>
      <c r="V48" s="57"/>
      <c r="W48" s="26"/>
      <c r="X48" s="26"/>
      <c r="Y48" s="26"/>
      <c r="Z48" s="26"/>
      <c r="AA48" s="26"/>
      <c r="AB48" s="26"/>
      <c r="AC48" s="26"/>
      <c r="AD48" s="26"/>
      <c r="AE48" s="26"/>
      <c r="AF48" s="26"/>
    </row>
    <row r="49" ht="16.5" customHeight="1">
      <c r="A49" s="26"/>
      <c r="B49" s="26"/>
      <c r="C49" s="57"/>
      <c r="D49" s="26"/>
      <c r="E49" s="19" t="s">
        <v>86</v>
      </c>
      <c r="F49" s="61" t="s">
        <v>99</v>
      </c>
      <c r="G49" s="26"/>
      <c r="H49" s="59"/>
      <c r="I49" s="63">
        <v>2.0</v>
      </c>
      <c r="J49" s="59"/>
      <c r="K49" s="59"/>
      <c r="L49" s="59"/>
      <c r="M49" s="60"/>
      <c r="N49" s="59"/>
      <c r="O49" s="59"/>
      <c r="P49" s="59"/>
      <c r="Q49" s="59"/>
      <c r="R49" s="59"/>
      <c r="S49" s="59"/>
      <c r="T49" s="59"/>
      <c r="U49" s="26"/>
      <c r="V49" s="57"/>
      <c r="W49" s="26"/>
      <c r="X49" s="26"/>
      <c r="Y49" s="26"/>
      <c r="Z49" s="26"/>
      <c r="AA49" s="26"/>
      <c r="AB49" s="26"/>
      <c r="AC49" s="26"/>
      <c r="AD49" s="26"/>
      <c r="AE49" s="26"/>
      <c r="AF49" s="26"/>
    </row>
    <row r="50" ht="16.5" customHeight="1">
      <c r="A50" s="26"/>
      <c r="B50" s="26"/>
      <c r="C50" s="57"/>
      <c r="D50" s="26"/>
      <c r="E50" s="19" t="s">
        <v>86</v>
      </c>
      <c r="F50" s="61" t="s">
        <v>100</v>
      </c>
      <c r="G50" s="26"/>
      <c r="H50" s="59"/>
      <c r="I50" s="59"/>
      <c r="J50" s="60"/>
      <c r="K50" s="59"/>
      <c r="L50" s="59"/>
      <c r="M50" s="59"/>
      <c r="N50" s="59"/>
      <c r="O50" s="59"/>
      <c r="P50" s="59"/>
      <c r="Q50" s="63">
        <v>2.0</v>
      </c>
      <c r="R50" s="59"/>
      <c r="S50" s="59"/>
      <c r="T50" s="59"/>
      <c r="U50" s="26"/>
      <c r="V50" s="57"/>
      <c r="W50" s="26"/>
      <c r="X50" s="26"/>
      <c r="Y50" s="26"/>
      <c r="Z50" s="26"/>
      <c r="AA50" s="26"/>
      <c r="AB50" s="26"/>
      <c r="AC50" s="26"/>
      <c r="AD50" s="26"/>
      <c r="AE50" s="26"/>
      <c r="AF50" s="26"/>
    </row>
    <row r="51" ht="16.5" customHeight="1">
      <c r="A51" s="26"/>
      <c r="B51" s="26"/>
      <c r="C51" s="57"/>
      <c r="D51" s="26"/>
      <c r="E51" s="19" t="s">
        <v>86</v>
      </c>
      <c r="F51" s="61" t="s">
        <v>101</v>
      </c>
      <c r="G51" s="26"/>
      <c r="H51" s="59"/>
      <c r="I51" s="59"/>
      <c r="J51" s="59"/>
      <c r="K51" s="59"/>
      <c r="L51" s="59"/>
      <c r="M51" s="59"/>
      <c r="N51" s="63">
        <v>2.0</v>
      </c>
      <c r="O51" s="59"/>
      <c r="P51" s="59"/>
      <c r="Q51" s="60"/>
      <c r="R51" s="59"/>
      <c r="S51" s="59"/>
      <c r="T51" s="59"/>
      <c r="U51" s="26"/>
      <c r="V51" s="57"/>
      <c r="W51" s="26"/>
      <c r="X51" s="26"/>
      <c r="Y51" s="26"/>
      <c r="Z51" s="26"/>
      <c r="AA51" s="26"/>
      <c r="AB51" s="26"/>
      <c r="AC51" s="26"/>
      <c r="AD51" s="26"/>
      <c r="AE51" s="26"/>
      <c r="AF51" s="26"/>
    </row>
    <row r="52">
      <c r="A52" s="26"/>
      <c r="B52" s="26"/>
      <c r="C52" s="57"/>
      <c r="D52" s="26"/>
      <c r="E52" s="19" t="s">
        <v>86</v>
      </c>
      <c r="F52" s="61" t="s">
        <v>102</v>
      </c>
      <c r="G52" s="61"/>
      <c r="H52" s="59"/>
      <c r="I52" s="59"/>
      <c r="J52" s="59"/>
      <c r="K52" s="59"/>
      <c r="L52" s="59"/>
      <c r="M52" s="62" t="s">
        <v>98</v>
      </c>
      <c r="N52" s="60"/>
      <c r="O52" s="59"/>
      <c r="P52" s="59"/>
      <c r="Q52" s="59"/>
      <c r="R52" s="59"/>
      <c r="S52" s="59"/>
      <c r="T52" s="59"/>
      <c r="U52" s="26"/>
      <c r="V52" s="57"/>
      <c r="W52" s="26"/>
      <c r="X52" s="26"/>
      <c r="Y52" s="26"/>
      <c r="Z52" s="26"/>
      <c r="AA52" s="26"/>
      <c r="AB52" s="26"/>
      <c r="AC52" s="26"/>
      <c r="AD52" s="26"/>
      <c r="AE52" s="26"/>
      <c r="AF52" s="26"/>
    </row>
    <row r="53">
      <c r="A53" s="26"/>
      <c r="B53" s="26"/>
      <c r="C53" s="57"/>
      <c r="D53" s="26"/>
      <c r="E53" s="19" t="s">
        <v>86</v>
      </c>
      <c r="F53" s="61" t="s">
        <v>103</v>
      </c>
      <c r="G53" s="61"/>
      <c r="H53" s="60"/>
      <c r="I53" s="59"/>
      <c r="J53" s="59"/>
      <c r="K53" s="59"/>
      <c r="L53" s="63">
        <v>2.0</v>
      </c>
      <c r="M53" s="59"/>
      <c r="N53" s="59"/>
      <c r="O53" s="59"/>
      <c r="P53" s="59"/>
      <c r="Q53" s="59"/>
      <c r="R53" s="59"/>
      <c r="S53" s="59"/>
      <c r="T53" s="59"/>
      <c r="U53" s="26"/>
      <c r="V53" s="57"/>
      <c r="W53" s="26"/>
      <c r="X53" s="26"/>
      <c r="Y53" s="26"/>
      <c r="Z53" s="26"/>
      <c r="AA53" s="26"/>
      <c r="AB53" s="26"/>
      <c r="AC53" s="26"/>
      <c r="AD53" s="26"/>
      <c r="AE53" s="26"/>
      <c r="AF53" s="26"/>
    </row>
    <row r="54">
      <c r="A54" s="26"/>
      <c r="B54" s="26"/>
      <c r="C54" s="57"/>
      <c r="D54" s="26"/>
      <c r="E54" s="19" t="s">
        <v>86</v>
      </c>
      <c r="F54" s="61" t="s">
        <v>104</v>
      </c>
      <c r="G54" s="61"/>
      <c r="H54" s="60"/>
      <c r="I54" s="59"/>
      <c r="J54" s="59"/>
      <c r="K54" s="59"/>
      <c r="L54" s="60"/>
      <c r="M54" s="59"/>
      <c r="N54" s="59"/>
      <c r="O54" s="59"/>
      <c r="P54" s="63">
        <v>2.0</v>
      </c>
      <c r="Q54" s="59"/>
      <c r="R54" s="59"/>
      <c r="S54" s="59"/>
      <c r="T54" s="59"/>
      <c r="U54" s="26"/>
      <c r="V54" s="57"/>
      <c r="W54" s="26"/>
      <c r="X54" s="26"/>
      <c r="Y54" s="26"/>
      <c r="Z54" s="26"/>
      <c r="AA54" s="26"/>
      <c r="AB54" s="26"/>
      <c r="AC54" s="26"/>
      <c r="AD54" s="26"/>
      <c r="AE54" s="26"/>
      <c r="AF54" s="26"/>
    </row>
    <row r="55" ht="16.5" customHeight="1">
      <c r="A55" s="64"/>
      <c r="B55" s="64"/>
      <c r="C55" s="65"/>
      <c r="D55" s="64"/>
      <c r="E55" s="65"/>
      <c r="F55" s="64"/>
      <c r="G55" s="26"/>
      <c r="H55" s="59"/>
      <c r="I55" s="59"/>
      <c r="J55" s="59"/>
      <c r="K55" s="59"/>
      <c r="L55" s="59"/>
      <c r="M55" s="59"/>
      <c r="N55" s="59"/>
      <c r="O55" s="59"/>
      <c r="P55" s="59"/>
      <c r="Q55" s="59"/>
      <c r="R55" s="59"/>
      <c r="S55" s="59"/>
      <c r="T55" s="59"/>
      <c r="U55" s="26"/>
      <c r="V55" s="57"/>
      <c r="W55" s="64"/>
      <c r="X55" s="64"/>
      <c r="Y55" s="64"/>
      <c r="Z55" s="64"/>
      <c r="AA55" s="64"/>
      <c r="AB55" s="64"/>
      <c r="AC55" s="64"/>
      <c r="AD55" s="64"/>
      <c r="AE55" s="64"/>
      <c r="AF55" s="64"/>
    </row>
    <row r="56" ht="16.5" customHeight="1">
      <c r="C56" s="66" t="s">
        <v>105</v>
      </c>
      <c r="E56" s="67" t="s">
        <v>86</v>
      </c>
      <c r="F56" s="68"/>
      <c r="H56" s="49"/>
      <c r="I56" s="49"/>
      <c r="J56" s="49"/>
      <c r="K56" s="49"/>
      <c r="L56" s="49"/>
      <c r="M56" s="49"/>
      <c r="N56" s="49"/>
      <c r="O56" s="49"/>
      <c r="P56" s="49"/>
      <c r="Q56" s="49"/>
      <c r="R56" s="49"/>
      <c r="S56" s="59"/>
      <c r="T56" s="49"/>
    </row>
    <row r="57" ht="16.5" customHeight="1">
      <c r="E57" s="47"/>
      <c r="H57" s="49"/>
      <c r="I57" s="49"/>
      <c r="J57" s="49"/>
      <c r="K57" s="49"/>
      <c r="L57" s="49"/>
      <c r="M57" s="49"/>
      <c r="N57" s="49"/>
      <c r="O57" s="49"/>
      <c r="P57" s="49"/>
      <c r="Q57" s="49"/>
      <c r="R57" s="49"/>
      <c r="S57" s="49"/>
      <c r="T57" s="49"/>
    </row>
    <row r="58" ht="16.5" customHeight="1">
      <c r="C58" s="69" t="s">
        <v>106</v>
      </c>
      <c r="E58" s="19" t="s">
        <v>58</v>
      </c>
      <c r="F58" s="70" t="s">
        <v>107</v>
      </c>
      <c r="H58" s="49"/>
      <c r="I58" s="49"/>
      <c r="J58" s="49"/>
      <c r="K58" s="49"/>
      <c r="L58" s="49"/>
      <c r="M58" s="49"/>
      <c r="N58" s="49"/>
      <c r="O58" s="49"/>
      <c r="P58" s="71">
        <v>4.0</v>
      </c>
      <c r="Q58" s="49"/>
      <c r="R58" s="54"/>
      <c r="S58" s="49"/>
      <c r="T58" s="49"/>
    </row>
    <row r="59" ht="17.25" customHeight="1">
      <c r="A59" s="8"/>
      <c r="B59" s="8"/>
      <c r="E59" s="19" t="s">
        <v>58</v>
      </c>
      <c r="F59" s="70" t="s">
        <v>108</v>
      </c>
      <c r="H59" s="49"/>
      <c r="I59" s="49"/>
      <c r="J59" s="49"/>
      <c r="K59" s="72"/>
      <c r="L59" s="72"/>
      <c r="M59" s="72"/>
      <c r="N59" s="72"/>
      <c r="O59" s="72"/>
      <c r="P59" s="54"/>
      <c r="Q59" s="54"/>
      <c r="R59" s="71">
        <v>4.0</v>
      </c>
      <c r="S59" s="72"/>
      <c r="T59" s="49"/>
      <c r="U59" s="8"/>
      <c r="W59" s="8"/>
      <c r="X59" s="8"/>
      <c r="Y59" s="8"/>
      <c r="Z59" s="8"/>
      <c r="AA59" s="8"/>
      <c r="AB59" s="8"/>
      <c r="AC59" s="8"/>
      <c r="AD59" s="8"/>
      <c r="AE59" s="8"/>
      <c r="AF59" s="8"/>
    </row>
    <row r="60" ht="16.5" customHeight="1">
      <c r="C60" s="47"/>
      <c r="E60" s="19" t="s">
        <v>58</v>
      </c>
      <c r="F60" s="68" t="s">
        <v>109</v>
      </c>
      <c r="H60" s="49"/>
      <c r="I60" s="49"/>
      <c r="J60" s="49"/>
      <c r="K60" s="49"/>
      <c r="L60" s="49"/>
      <c r="M60" s="49"/>
      <c r="N60" s="49"/>
      <c r="O60" s="49"/>
      <c r="P60" s="49"/>
      <c r="Q60" s="49"/>
      <c r="R60" s="48">
        <v>3.0</v>
      </c>
      <c r="S60" s="49"/>
      <c r="T60" s="49"/>
      <c r="X60" s="73"/>
      <c r="Y60" s="73"/>
      <c r="Z60" s="73"/>
    </row>
    <row r="61" ht="61.5" customHeight="1">
      <c r="E61" s="19" t="s">
        <v>58</v>
      </c>
      <c r="F61" s="68" t="s">
        <v>110</v>
      </c>
      <c r="H61" s="49"/>
      <c r="I61" s="49"/>
      <c r="J61" s="49"/>
      <c r="K61" s="49"/>
      <c r="L61" s="49"/>
      <c r="M61" s="49"/>
      <c r="O61" s="49"/>
      <c r="P61" s="74" t="s">
        <v>111</v>
      </c>
      <c r="Q61" s="75" t="s">
        <v>112</v>
      </c>
      <c r="R61" s="75" t="s">
        <v>113</v>
      </c>
      <c r="S61" s="49"/>
      <c r="T61" s="49"/>
    </row>
    <row r="62" ht="16.5" customHeight="1">
      <c r="E62" s="19" t="s">
        <v>58</v>
      </c>
      <c r="F62" s="68"/>
      <c r="G62" s="21"/>
      <c r="H62" s="49"/>
      <c r="I62" s="49"/>
      <c r="J62" s="49"/>
      <c r="K62" s="49"/>
      <c r="L62" s="49"/>
      <c r="M62" s="49"/>
      <c r="N62" s="54"/>
      <c r="O62" s="49"/>
      <c r="P62" s="49"/>
      <c r="Q62" s="49"/>
      <c r="R62" s="49"/>
      <c r="S62" s="49"/>
      <c r="T62" s="49"/>
      <c r="Y62" s="76"/>
    </row>
    <row r="63" ht="16.5" customHeight="1">
      <c r="F63" s="61"/>
      <c r="G63" s="21"/>
      <c r="H63" s="49"/>
      <c r="I63" s="49"/>
      <c r="J63" s="49"/>
      <c r="K63" s="49"/>
      <c r="L63" s="49"/>
      <c r="M63" s="49"/>
      <c r="N63" s="54"/>
      <c r="O63" s="49"/>
      <c r="P63" s="49"/>
      <c r="Q63" s="49"/>
      <c r="R63" s="49"/>
      <c r="S63" s="49"/>
      <c r="T63" s="49"/>
      <c r="Y63" s="76"/>
    </row>
    <row r="64" ht="16.5" customHeight="1">
      <c r="C64" s="21" t="s">
        <v>114</v>
      </c>
      <c r="D64" s="20"/>
      <c r="E64" s="21" t="s">
        <v>115</v>
      </c>
      <c r="H64" s="49"/>
      <c r="I64" s="49"/>
      <c r="J64" s="49"/>
      <c r="K64" s="49"/>
      <c r="L64" s="49"/>
      <c r="M64" s="49"/>
      <c r="N64" s="49"/>
      <c r="O64" s="49"/>
      <c r="P64" s="49"/>
      <c r="Q64" s="49"/>
      <c r="R64" s="49"/>
      <c r="S64" s="49"/>
      <c r="T64" s="49"/>
    </row>
    <row r="65" ht="52.5" customHeight="1">
      <c r="E65" s="19" t="s">
        <v>116</v>
      </c>
      <c r="F65" s="68" t="s">
        <v>117</v>
      </c>
      <c r="H65" s="49"/>
      <c r="I65" s="49"/>
      <c r="J65" s="49"/>
      <c r="K65" s="49"/>
      <c r="L65" s="49"/>
      <c r="M65" s="77"/>
      <c r="N65" s="49"/>
      <c r="O65" s="49"/>
      <c r="P65" s="54"/>
      <c r="Q65" s="75" t="s">
        <v>118</v>
      </c>
      <c r="R65" s="54"/>
      <c r="S65" s="49"/>
      <c r="T65" s="49"/>
    </row>
    <row r="66" ht="44.25" customHeight="1">
      <c r="F66" s="68" t="s">
        <v>119</v>
      </c>
      <c r="H66" s="49"/>
      <c r="I66" s="49"/>
      <c r="J66" s="49"/>
      <c r="K66" s="49"/>
      <c r="L66" s="49"/>
      <c r="M66" s="49"/>
      <c r="N66" s="49"/>
      <c r="O66" s="49"/>
      <c r="P66" s="75" t="s">
        <v>120</v>
      </c>
      <c r="Q66" s="49"/>
      <c r="R66" s="49"/>
      <c r="S66" s="49"/>
      <c r="T66" s="71" t="s">
        <v>121</v>
      </c>
    </row>
    <row r="67" ht="45.75" customHeight="1">
      <c r="E67" s="21"/>
      <c r="F67" s="68" t="s">
        <v>122</v>
      </c>
      <c r="H67" s="49"/>
      <c r="I67" s="49"/>
      <c r="J67" s="49"/>
      <c r="K67" s="49"/>
      <c r="L67" s="49"/>
      <c r="M67" s="49"/>
      <c r="N67" s="49"/>
      <c r="O67" s="49"/>
      <c r="P67" s="78" t="s">
        <v>123</v>
      </c>
      <c r="Q67" s="75" t="s">
        <v>124</v>
      </c>
      <c r="R67" s="75" t="s">
        <v>125</v>
      </c>
      <c r="S67" s="49"/>
      <c r="T67" s="48" t="s">
        <v>126</v>
      </c>
    </row>
    <row r="68" ht="16.5" customHeight="1">
      <c r="E68" s="21"/>
      <c r="F68" s="19"/>
      <c r="H68" s="49"/>
      <c r="I68" s="49"/>
      <c r="J68" s="49"/>
      <c r="K68" s="49"/>
      <c r="L68" s="49"/>
      <c r="M68" s="49"/>
      <c r="N68" s="49"/>
      <c r="O68" s="49"/>
      <c r="P68" s="49"/>
      <c r="Q68" s="49"/>
      <c r="R68" s="49"/>
      <c r="S68" s="49"/>
      <c r="T68" s="49"/>
    </row>
    <row r="69" ht="16.5" customHeight="1">
      <c r="C69" s="47" t="s">
        <v>127</v>
      </c>
      <c r="E69" s="21"/>
      <c r="H69" s="49"/>
      <c r="I69" s="49"/>
      <c r="J69" s="49"/>
      <c r="K69" s="49"/>
      <c r="L69" s="49"/>
      <c r="M69" s="49"/>
      <c r="N69" s="49"/>
      <c r="O69" s="49"/>
      <c r="P69" s="49"/>
      <c r="Q69" s="49"/>
      <c r="R69" s="49"/>
      <c r="S69" s="49"/>
      <c r="T69" s="49"/>
    </row>
    <row r="70" ht="17.25" customHeight="1">
      <c r="A70" s="8"/>
      <c r="B70" s="8"/>
      <c r="E70" s="19" t="s">
        <v>86</v>
      </c>
      <c r="F70" s="68" t="s">
        <v>128</v>
      </c>
      <c r="H70" s="48">
        <v>3.0</v>
      </c>
      <c r="I70" s="48">
        <v>3.0</v>
      </c>
      <c r="J70" s="48">
        <v>3.0</v>
      </c>
      <c r="K70" s="72"/>
      <c r="L70" s="48">
        <v>3.0</v>
      </c>
      <c r="M70" s="52">
        <v>0.0</v>
      </c>
      <c r="N70" s="52" t="s">
        <v>129</v>
      </c>
      <c r="O70" s="72"/>
      <c r="P70" s="48">
        <v>3.0</v>
      </c>
      <c r="Q70" s="48">
        <v>3.0</v>
      </c>
      <c r="R70" s="48">
        <v>3.0</v>
      </c>
      <c r="S70" s="72"/>
      <c r="T70" s="71" t="s">
        <v>130</v>
      </c>
      <c r="U70" s="8"/>
      <c r="W70" s="8"/>
      <c r="X70" s="8"/>
      <c r="Y70" s="8"/>
      <c r="Z70" s="8"/>
      <c r="AA70" s="8"/>
      <c r="AB70" s="8"/>
      <c r="AC70" s="8"/>
      <c r="AD70" s="8"/>
      <c r="AE70" s="8"/>
      <c r="AF70" s="8"/>
    </row>
    <row r="71" ht="17.25" customHeight="1">
      <c r="A71" s="8"/>
      <c r="B71" s="8"/>
      <c r="E71" s="19"/>
      <c r="F71" s="68" t="s">
        <v>131</v>
      </c>
      <c r="H71" s="54"/>
      <c r="I71" s="54"/>
      <c r="J71" s="54"/>
      <c r="K71" s="72"/>
      <c r="L71" s="54"/>
      <c r="M71" s="54"/>
      <c r="N71" s="54"/>
      <c r="O71" s="72"/>
      <c r="P71" s="54"/>
      <c r="Q71" s="54"/>
      <c r="R71" s="54"/>
      <c r="S71" s="72"/>
      <c r="T71" s="48" t="s">
        <v>132</v>
      </c>
      <c r="U71" s="8"/>
      <c r="W71" s="8"/>
      <c r="X71" s="8"/>
      <c r="Y71" s="8"/>
      <c r="Z71" s="8"/>
      <c r="AA71" s="8"/>
      <c r="AB71" s="8"/>
      <c r="AC71" s="8"/>
      <c r="AD71" s="8"/>
      <c r="AE71" s="8"/>
      <c r="AF71" s="8"/>
    </row>
    <row r="72" ht="16.5" customHeight="1">
      <c r="C72" s="47"/>
      <c r="E72" s="19" t="s">
        <v>58</v>
      </c>
      <c r="F72" s="68" t="s">
        <v>133</v>
      </c>
      <c r="H72" s="49"/>
      <c r="I72" s="49"/>
      <c r="J72" s="49"/>
      <c r="K72" s="49"/>
      <c r="L72" s="49"/>
      <c r="M72" s="49"/>
      <c r="N72" s="49"/>
      <c r="O72" s="49"/>
      <c r="P72" s="49"/>
      <c r="Q72" s="49"/>
      <c r="R72" s="48">
        <v>3.0</v>
      </c>
      <c r="S72" s="49"/>
      <c r="T72" s="49"/>
      <c r="X72" s="73"/>
      <c r="Y72" s="73"/>
      <c r="Z72" s="73"/>
    </row>
    <row r="73" ht="16.5" customHeight="1">
      <c r="C73" s="47"/>
      <c r="E73" s="19" t="s">
        <v>58</v>
      </c>
      <c r="F73" s="68" t="s">
        <v>134</v>
      </c>
      <c r="H73" s="48">
        <v>3.0</v>
      </c>
      <c r="I73" s="51" t="s">
        <v>135</v>
      </c>
      <c r="J73" s="51" t="s">
        <v>135</v>
      </c>
      <c r="K73" s="49"/>
      <c r="L73" s="52">
        <v>0.0</v>
      </c>
      <c r="M73" s="52">
        <v>0.0</v>
      </c>
      <c r="N73" s="51" t="s">
        <v>135</v>
      </c>
      <c r="O73" s="49"/>
      <c r="P73" s="48">
        <v>3.0</v>
      </c>
      <c r="Q73" s="71" t="s">
        <v>130</v>
      </c>
      <c r="R73" s="48">
        <v>3.0</v>
      </c>
      <c r="S73" s="49"/>
      <c r="T73" s="52">
        <v>0.0</v>
      </c>
      <c r="X73" s="73"/>
      <c r="Y73" s="73"/>
      <c r="Z73" s="73"/>
    </row>
    <row r="74" ht="16.5" customHeight="1">
      <c r="C74" s="47"/>
      <c r="E74" s="19" t="s">
        <v>58</v>
      </c>
      <c r="F74" s="68" t="s">
        <v>136</v>
      </c>
      <c r="H74" s="49"/>
      <c r="I74" s="49"/>
      <c r="J74" s="49"/>
      <c r="K74" s="49"/>
      <c r="L74" s="49"/>
      <c r="M74" s="49"/>
      <c r="N74" s="49"/>
      <c r="O74" s="49"/>
      <c r="P74" s="79">
        <v>5.0</v>
      </c>
      <c r="Q74" s="49"/>
      <c r="R74" s="54"/>
      <c r="S74" s="49"/>
      <c r="T74" s="49"/>
      <c r="X74" s="73"/>
      <c r="Y74" s="73"/>
      <c r="Z74" s="73"/>
    </row>
    <row r="75" ht="16.5" customHeight="1">
      <c r="C75" s="47"/>
      <c r="E75" s="19" t="s">
        <v>58</v>
      </c>
      <c r="F75" s="68" t="s">
        <v>137</v>
      </c>
      <c r="H75" s="48">
        <v>2.0</v>
      </c>
      <c r="I75" s="51" t="s">
        <v>138</v>
      </c>
      <c r="J75" s="48">
        <v>2.0</v>
      </c>
      <c r="K75" s="49"/>
      <c r="L75" s="48">
        <v>2.0</v>
      </c>
      <c r="M75" s="48" t="s">
        <v>139</v>
      </c>
      <c r="N75" s="48">
        <v>2.0</v>
      </c>
      <c r="O75" s="49"/>
      <c r="P75" s="71" t="s">
        <v>140</v>
      </c>
      <c r="Q75" s="71" t="s">
        <v>141</v>
      </c>
      <c r="R75" s="48">
        <v>2.0</v>
      </c>
      <c r="S75" s="54"/>
      <c r="T75" s="48" t="s">
        <v>142</v>
      </c>
      <c r="X75" s="73"/>
      <c r="Y75" s="73"/>
      <c r="Z75" s="73"/>
    </row>
    <row r="76" ht="16.5" customHeight="1">
      <c r="C76" s="47"/>
      <c r="E76" s="19" t="s">
        <v>86</v>
      </c>
      <c r="F76" s="68" t="s">
        <v>143</v>
      </c>
      <c r="G76" s="21"/>
      <c r="H76" s="54"/>
      <c r="I76" s="54"/>
      <c r="J76" s="80" t="s">
        <v>144</v>
      </c>
      <c r="K76" s="49"/>
      <c r="L76" s="54"/>
      <c r="M76" s="54"/>
      <c r="N76" s="54"/>
      <c r="O76" s="49"/>
      <c r="P76" s="54"/>
      <c r="Q76" s="48">
        <v>1.0</v>
      </c>
      <c r="R76" s="54"/>
      <c r="S76" s="49"/>
      <c r="T76" s="48">
        <v>1.0</v>
      </c>
    </row>
    <row r="77">
      <c r="E77" s="19" t="s">
        <v>145</v>
      </c>
      <c r="F77" s="68" t="s">
        <v>146</v>
      </c>
      <c r="H77" s="48">
        <v>3.0</v>
      </c>
      <c r="I77" s="52">
        <v>0.0</v>
      </c>
      <c r="J77" s="48">
        <v>3.0</v>
      </c>
      <c r="K77" s="49"/>
      <c r="L77" s="48">
        <v>3.0</v>
      </c>
      <c r="M77" s="71" t="s">
        <v>147</v>
      </c>
      <c r="N77" s="48">
        <v>3.0</v>
      </c>
      <c r="O77" s="49"/>
      <c r="P77" s="48">
        <v>3.0</v>
      </c>
      <c r="Q77" s="48">
        <v>3.0</v>
      </c>
      <c r="R77" s="48">
        <v>3.0</v>
      </c>
      <c r="S77" s="49"/>
      <c r="T77" s="52">
        <v>0.0</v>
      </c>
    </row>
    <row r="78" ht="16.5" customHeight="1">
      <c r="C78" s="21"/>
      <c r="D78" s="20"/>
      <c r="E78" s="21"/>
      <c r="H78" s="81"/>
      <c r="I78" s="81"/>
      <c r="J78" s="81"/>
      <c r="K78" s="82"/>
      <c r="L78" s="81"/>
      <c r="M78" s="81"/>
      <c r="N78" s="81"/>
      <c r="O78" s="82"/>
      <c r="P78" s="81"/>
      <c r="Q78" s="82"/>
      <c r="R78" s="81"/>
      <c r="S78" s="82"/>
      <c r="T78" s="81"/>
    </row>
    <row r="79">
      <c r="C79" s="47" t="s">
        <v>148</v>
      </c>
    </row>
    <row r="80">
      <c r="E80" s="19" t="s">
        <v>149</v>
      </c>
      <c r="F80" s="83" t="s">
        <v>150</v>
      </c>
      <c r="H80" s="49"/>
      <c r="I80" s="49"/>
      <c r="J80" s="49"/>
      <c r="K80" s="49"/>
      <c r="L80" s="49"/>
      <c r="M80" s="48">
        <v>1.0</v>
      </c>
      <c r="N80" s="49"/>
      <c r="O80" s="49"/>
      <c r="P80" s="49"/>
      <c r="Q80" s="49"/>
      <c r="R80" s="49"/>
      <c r="S80" s="49"/>
      <c r="T80" s="49"/>
      <c r="U80" s="49"/>
    </row>
    <row r="81">
      <c r="F81" s="19" t="s">
        <v>151</v>
      </c>
      <c r="P81" s="7">
        <v>1.0</v>
      </c>
    </row>
    <row r="82" ht="16.5" customHeight="1">
      <c r="C82" s="84" t="s">
        <v>152</v>
      </c>
      <c r="L82" s="85"/>
      <c r="N82" s="85"/>
    </row>
    <row r="83" ht="16.5" customHeight="1">
      <c r="E83" s="19" t="s">
        <v>57</v>
      </c>
      <c r="F83" s="68" t="s">
        <v>153</v>
      </c>
      <c r="L83" s="86" t="s">
        <v>154</v>
      </c>
      <c r="M83" s="85"/>
      <c r="N83" s="34"/>
    </row>
    <row r="84" ht="16.5" customHeight="1">
      <c r="E84" s="19" t="s">
        <v>57</v>
      </c>
      <c r="F84" s="87" t="s">
        <v>155</v>
      </c>
      <c r="L84" s="88" t="s">
        <v>156</v>
      </c>
      <c r="M84" s="85"/>
      <c r="N84" s="85"/>
    </row>
    <row r="85">
      <c r="E85" s="19" t="s">
        <v>57</v>
      </c>
      <c r="F85" s="87" t="s">
        <v>157</v>
      </c>
      <c r="L85" s="85"/>
      <c r="M85" s="89" t="s">
        <v>158</v>
      </c>
      <c r="N85" s="85"/>
    </row>
    <row r="86" ht="16.5" customHeight="1">
      <c r="E86" s="19" t="s">
        <v>57</v>
      </c>
      <c r="F86" s="87" t="s">
        <v>159</v>
      </c>
      <c r="L86" s="85"/>
      <c r="M86" s="89" t="s">
        <v>160</v>
      </c>
      <c r="N86" s="85"/>
    </row>
    <row r="87" ht="16.5" customHeight="1">
      <c r="E87" s="19" t="s">
        <v>57</v>
      </c>
      <c r="F87" s="87" t="s">
        <v>161</v>
      </c>
      <c r="L87" s="85"/>
      <c r="M87" s="90"/>
      <c r="N87" s="91" t="s">
        <v>162</v>
      </c>
      <c r="T87" s="19"/>
    </row>
    <row r="88">
      <c r="E88" s="19" t="s">
        <v>57</v>
      </c>
      <c r="F88" s="87" t="s">
        <v>163</v>
      </c>
      <c r="G88" s="21"/>
      <c r="M88" s="85"/>
      <c r="N88" s="92" t="s">
        <v>164</v>
      </c>
    </row>
    <row r="89">
      <c r="C89" s="47" t="s">
        <v>165</v>
      </c>
      <c r="F89" s="93"/>
      <c r="Q89" s="56"/>
      <c r="AB89" s="94" t="s">
        <v>166</v>
      </c>
      <c r="AC89" s="95" t="s">
        <v>167</v>
      </c>
      <c r="AD89" s="95" t="s">
        <v>168</v>
      </c>
      <c r="AE89" s="95" t="s">
        <v>169</v>
      </c>
      <c r="AF89" s="95" t="s">
        <v>170</v>
      </c>
    </row>
    <row r="90">
      <c r="E90" s="21" t="s">
        <v>145</v>
      </c>
      <c r="F90" s="96" t="s">
        <v>171</v>
      </c>
      <c r="H90" s="7">
        <v>2.0</v>
      </c>
      <c r="I90" s="7">
        <v>2.0</v>
      </c>
      <c r="J90" s="7">
        <v>2.0</v>
      </c>
      <c r="AB90" s="97" t="s">
        <v>172</v>
      </c>
      <c r="AC90" s="98" t="s">
        <v>58</v>
      </c>
      <c r="AD90" s="99"/>
      <c r="AE90" s="100" t="s">
        <v>173</v>
      </c>
      <c r="AF90" s="100" t="s">
        <v>174</v>
      </c>
    </row>
    <row r="91">
      <c r="E91" s="21" t="s">
        <v>175</v>
      </c>
      <c r="F91" s="96" t="s">
        <v>176</v>
      </c>
      <c r="G91" s="21"/>
      <c r="H91" s="7" t="s">
        <v>177</v>
      </c>
      <c r="I91" s="7" t="s">
        <v>178</v>
      </c>
      <c r="J91" s="7" t="s">
        <v>178</v>
      </c>
      <c r="T91" s="7" t="s">
        <v>179</v>
      </c>
      <c r="AB91" s="97" t="s">
        <v>180</v>
      </c>
      <c r="AC91" s="98" t="s">
        <v>175</v>
      </c>
      <c r="AD91" s="101"/>
      <c r="AE91" s="101"/>
      <c r="AF91" s="98" t="s">
        <v>181</v>
      </c>
    </row>
    <row r="92">
      <c r="E92" s="21" t="s">
        <v>145</v>
      </c>
      <c r="F92" s="83" t="s">
        <v>150</v>
      </c>
      <c r="G92" s="21"/>
      <c r="H92" s="7" t="s">
        <v>182</v>
      </c>
      <c r="I92" s="7"/>
      <c r="J92" s="7" t="s">
        <v>183</v>
      </c>
      <c r="T92" s="7" t="s">
        <v>179</v>
      </c>
      <c r="AB92" s="97" t="s">
        <v>184</v>
      </c>
      <c r="AC92" s="98" t="s">
        <v>185</v>
      </c>
      <c r="AD92" s="98" t="s">
        <v>186</v>
      </c>
      <c r="AE92" s="100" t="s">
        <v>187</v>
      </c>
      <c r="AF92" s="100" t="s">
        <v>188</v>
      </c>
    </row>
    <row r="93">
      <c r="E93" s="21" t="s">
        <v>145</v>
      </c>
      <c r="F93" s="83" t="s">
        <v>189</v>
      </c>
      <c r="G93" s="21"/>
      <c r="H93" s="19"/>
      <c r="J93" s="7" t="s">
        <v>190</v>
      </c>
      <c r="T93" s="7" t="s">
        <v>132</v>
      </c>
      <c r="AB93" s="97" t="s">
        <v>191</v>
      </c>
      <c r="AC93" s="97" t="s">
        <v>192</v>
      </c>
      <c r="AD93" s="102"/>
      <c r="AE93" s="100" t="s">
        <v>193</v>
      </c>
      <c r="AF93" s="102"/>
    </row>
    <row r="94">
      <c r="A94" s="103"/>
      <c r="B94" s="103"/>
      <c r="C94" s="103"/>
      <c r="D94" s="103"/>
      <c r="E94" s="21" t="s">
        <v>175</v>
      </c>
      <c r="F94" s="83" t="s">
        <v>194</v>
      </c>
      <c r="G94" s="21"/>
      <c r="I94" s="7" t="s">
        <v>177</v>
      </c>
      <c r="T94" s="7" t="s">
        <v>132</v>
      </c>
      <c r="W94" s="103"/>
      <c r="X94" s="103"/>
      <c r="Y94" s="103"/>
      <c r="Z94" s="103"/>
      <c r="AA94" s="103"/>
      <c r="AB94" s="97" t="s">
        <v>195</v>
      </c>
      <c r="AC94" s="98" t="s">
        <v>196</v>
      </c>
      <c r="AD94" s="102"/>
      <c r="AE94" s="102"/>
      <c r="AF94" s="102"/>
    </row>
    <row r="95">
      <c r="E95" s="21" t="s">
        <v>145</v>
      </c>
      <c r="F95" s="83" t="s">
        <v>197</v>
      </c>
      <c r="G95" s="21"/>
      <c r="H95" s="19"/>
      <c r="I95" s="7" t="s">
        <v>198</v>
      </c>
      <c r="T95" s="7" t="s">
        <v>179</v>
      </c>
      <c r="AB95" s="97" t="s">
        <v>199</v>
      </c>
      <c r="AC95" s="98" t="s">
        <v>200</v>
      </c>
      <c r="AD95" s="104"/>
      <c r="AE95" s="104"/>
      <c r="AF95" s="104"/>
    </row>
    <row r="96">
      <c r="E96" s="21" t="s">
        <v>175</v>
      </c>
      <c r="F96" s="96" t="s">
        <v>201</v>
      </c>
      <c r="G96" s="21"/>
      <c r="I96" s="19"/>
      <c r="J96" s="105" t="s">
        <v>202</v>
      </c>
      <c r="AB96" s="97" t="s">
        <v>203</v>
      </c>
      <c r="AC96" s="98" t="s">
        <v>204</v>
      </c>
      <c r="AD96" s="104"/>
      <c r="AE96" s="104"/>
      <c r="AF96" s="104"/>
    </row>
    <row r="97">
      <c r="E97" s="21" t="s">
        <v>175</v>
      </c>
      <c r="F97" s="96" t="s">
        <v>205</v>
      </c>
      <c r="G97" s="21"/>
      <c r="I97" s="19"/>
      <c r="J97" s="106" t="s">
        <v>206</v>
      </c>
      <c r="T97" s="7" t="s">
        <v>179</v>
      </c>
      <c r="AB97" s="97" t="s">
        <v>207</v>
      </c>
      <c r="AC97" s="98" t="s">
        <v>58</v>
      </c>
      <c r="AD97" s="102"/>
      <c r="AE97" s="100" t="s">
        <v>173</v>
      </c>
      <c r="AF97" s="102"/>
    </row>
    <row r="98">
      <c r="E98" s="21" t="s">
        <v>175</v>
      </c>
      <c r="F98" s="96" t="s">
        <v>208</v>
      </c>
      <c r="G98" s="21"/>
      <c r="I98" s="19"/>
      <c r="J98" s="7" t="s">
        <v>209</v>
      </c>
      <c r="AB98" s="97" t="s">
        <v>210</v>
      </c>
      <c r="AC98" s="98" t="s">
        <v>58</v>
      </c>
      <c r="AD98" s="101"/>
      <c r="AE98" s="100" t="s">
        <v>211</v>
      </c>
      <c r="AF98" s="101"/>
    </row>
    <row r="99">
      <c r="E99" s="21" t="s">
        <v>175</v>
      </c>
      <c r="F99" s="61" t="s">
        <v>212</v>
      </c>
      <c r="G99" s="21"/>
      <c r="J99" s="7" t="s">
        <v>213</v>
      </c>
      <c r="AB99" s="97" t="s">
        <v>214</v>
      </c>
      <c r="AC99" s="98" t="s">
        <v>215</v>
      </c>
      <c r="AD99" s="97" t="s">
        <v>216</v>
      </c>
      <c r="AE99" s="99"/>
      <c r="AF99" s="99"/>
    </row>
    <row r="100">
      <c r="Z100" s="101"/>
      <c r="AA100" s="97" t="s">
        <v>217</v>
      </c>
      <c r="AB100" s="97" t="s">
        <v>218</v>
      </c>
      <c r="AC100" s="98" t="s">
        <v>83</v>
      </c>
      <c r="AD100" s="101"/>
      <c r="AE100" s="107" t="s">
        <v>219</v>
      </c>
      <c r="AF100" s="101"/>
    </row>
    <row r="101">
      <c r="A101" s="108"/>
      <c r="B101" s="108"/>
      <c r="C101" s="108"/>
      <c r="D101" s="108"/>
      <c r="E101" s="108"/>
      <c r="F101" s="108"/>
      <c r="G101" s="109" t="s">
        <v>220</v>
      </c>
      <c r="H101" s="79">
        <v>31.0</v>
      </c>
      <c r="I101" s="79">
        <v>29.5</v>
      </c>
      <c r="J101" s="79">
        <v>45.5</v>
      </c>
      <c r="K101" s="108"/>
      <c r="L101" s="79">
        <v>28.0</v>
      </c>
      <c r="M101" s="79">
        <v>21.0</v>
      </c>
      <c r="N101" s="79">
        <v>25.0</v>
      </c>
      <c r="O101" s="108"/>
      <c r="P101" s="79">
        <v>46.0</v>
      </c>
      <c r="Q101" s="79">
        <v>37.0</v>
      </c>
      <c r="R101" s="79">
        <v>43.0</v>
      </c>
      <c r="S101" s="108"/>
      <c r="T101" s="79">
        <v>37.0</v>
      </c>
      <c r="U101" s="108"/>
      <c r="V101" s="108"/>
      <c r="W101" s="108"/>
      <c r="X101" s="108"/>
      <c r="Y101" s="108"/>
      <c r="Z101" s="110">
        <v>8.0</v>
      </c>
      <c r="AA101" s="110" t="s">
        <v>221</v>
      </c>
      <c r="AB101" s="110" t="s">
        <v>222</v>
      </c>
      <c r="AC101" s="111" t="s">
        <v>223</v>
      </c>
      <c r="AD101" s="112"/>
      <c r="AE101" s="112"/>
      <c r="AF101" s="112"/>
    </row>
    <row r="102">
      <c r="A102" s="18"/>
      <c r="B102" s="18"/>
      <c r="C102" s="18"/>
      <c r="D102" s="18"/>
      <c r="E102" s="18"/>
      <c r="F102" s="18"/>
      <c r="G102" s="113" t="s">
        <v>224</v>
      </c>
      <c r="H102" s="114">
        <f t="shared" ref="H102:J102" si="1">H101/46*25</f>
        <v>16.84782609</v>
      </c>
      <c r="I102" s="114">
        <f t="shared" si="1"/>
        <v>16.0326087</v>
      </c>
      <c r="J102" s="114">
        <f t="shared" si="1"/>
        <v>24.72826087</v>
      </c>
      <c r="K102" s="114"/>
      <c r="L102" s="114">
        <f t="shared" ref="L102:N102" si="2">L101/46*25</f>
        <v>15.2173913</v>
      </c>
      <c r="M102" s="114">
        <f t="shared" si="2"/>
        <v>11.41304348</v>
      </c>
      <c r="N102" s="114">
        <f t="shared" si="2"/>
        <v>13.58695652</v>
      </c>
      <c r="O102" s="114"/>
      <c r="P102" s="114">
        <f t="shared" ref="P102:R102" si="3">P101/46*25</f>
        <v>25</v>
      </c>
      <c r="Q102" s="114">
        <f t="shared" si="3"/>
        <v>20.10869565</v>
      </c>
      <c r="R102" s="114">
        <f t="shared" si="3"/>
        <v>23.36956522</v>
      </c>
      <c r="S102" s="114"/>
      <c r="T102" s="114">
        <f>T101/46*25</f>
        <v>20.10869565</v>
      </c>
      <c r="U102" s="18"/>
      <c r="V102" s="12" t="s">
        <v>225</v>
      </c>
      <c r="W102" s="115">
        <f>SUM(H102:T102)</f>
        <v>186.4130435</v>
      </c>
      <c r="X102" s="18"/>
      <c r="Y102" s="18"/>
      <c r="Z102" s="116"/>
      <c r="AA102" s="117">
        <v>45756.0</v>
      </c>
      <c r="AB102" s="118" t="s">
        <v>226</v>
      </c>
      <c r="AC102" s="119" t="s">
        <v>227</v>
      </c>
      <c r="AD102" s="116"/>
      <c r="AE102" s="120" t="s">
        <v>228</v>
      </c>
      <c r="AF102" s="116"/>
    </row>
    <row r="103">
      <c r="P103" s="19" t="s">
        <v>229</v>
      </c>
      <c r="Z103" s="97">
        <v>9.0</v>
      </c>
      <c r="AA103" s="97" t="s">
        <v>230</v>
      </c>
      <c r="AB103" s="97" t="s">
        <v>199</v>
      </c>
      <c r="AC103" s="98" t="s">
        <v>231</v>
      </c>
      <c r="AD103" s="99"/>
      <c r="AE103" s="99"/>
      <c r="AF103" s="99"/>
    </row>
    <row r="104">
      <c r="Z104" s="97">
        <v>10.0</v>
      </c>
      <c r="AA104" s="97" t="s">
        <v>232</v>
      </c>
      <c r="AB104" s="97" t="s">
        <v>233</v>
      </c>
      <c r="AC104" s="98" t="s">
        <v>200</v>
      </c>
      <c r="AD104" s="101"/>
      <c r="AE104" s="101"/>
      <c r="AF104" s="101"/>
    </row>
  </sheetData>
  <mergeCells count="4">
    <mergeCell ref="C1:I1"/>
    <mergeCell ref="C2:I2"/>
    <mergeCell ref="C3:I3"/>
    <mergeCell ref="C4:I4"/>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2" width="4.38"/>
    <col customWidth="1" min="3" max="3" width="13.38"/>
    <col customWidth="1" hidden="1" min="4" max="4" width="10.13"/>
    <col customWidth="1" min="5" max="5" width="14.0"/>
    <col customWidth="1" min="6" max="6" width="18.88"/>
    <col customWidth="1" min="7" max="7" width="7.75"/>
    <col customWidth="1" min="8" max="8" width="13.63"/>
    <col customWidth="1" min="9" max="9" width="12.25"/>
    <col customWidth="1" min="10" max="10" width="12.0"/>
    <col customWidth="1" min="11" max="11" width="8.13"/>
    <col customWidth="1" min="12" max="14" width="17.25"/>
    <col customWidth="1" min="15" max="15" width="8.75"/>
    <col customWidth="1" min="17" max="17" width="10.63"/>
    <col customWidth="1" min="22" max="22" width="19.25"/>
  </cols>
  <sheetData>
    <row r="1">
      <c r="A1" s="7" t="s">
        <v>234</v>
      </c>
      <c r="C1" s="1" t="s">
        <v>0</v>
      </c>
    </row>
    <row r="2">
      <c r="C2" s="2" t="s">
        <v>1</v>
      </c>
      <c r="L2" s="19" t="s">
        <v>235</v>
      </c>
    </row>
    <row r="3">
      <c r="C3" s="1" t="s">
        <v>2</v>
      </c>
      <c r="L3" s="19" t="s">
        <v>236</v>
      </c>
    </row>
    <row r="4">
      <c r="C4" s="3" t="s">
        <v>3</v>
      </c>
      <c r="L4" s="19" t="s">
        <v>237</v>
      </c>
    </row>
    <row r="5">
      <c r="C5" s="4" t="s">
        <v>4</v>
      </c>
      <c r="D5" s="5"/>
      <c r="E5" s="6"/>
      <c r="F5" s="6"/>
      <c r="G5" s="6"/>
      <c r="H5" s="6"/>
      <c r="I5" s="6"/>
    </row>
    <row r="6">
      <c r="C6" s="4" t="s">
        <v>5</v>
      </c>
      <c r="D6" s="5"/>
      <c r="E6" s="6"/>
      <c r="F6" s="6"/>
      <c r="G6" s="6"/>
      <c r="H6" s="6"/>
      <c r="I6" s="6"/>
      <c r="Q6" s="26"/>
      <c r="R6" s="57"/>
      <c r="S6" s="7" t="s">
        <v>6</v>
      </c>
      <c r="T6" s="26"/>
      <c r="U6" s="26"/>
      <c r="V6" s="26"/>
    </row>
    <row r="7">
      <c r="A7" s="8"/>
      <c r="B7" s="8"/>
      <c r="C7" s="9"/>
      <c r="D7" s="10"/>
      <c r="E7" s="9"/>
      <c r="F7" s="9"/>
      <c r="G7" s="9"/>
      <c r="H7" s="9"/>
      <c r="I7" s="9"/>
      <c r="J7" s="8"/>
      <c r="K7" s="8"/>
      <c r="L7" s="8"/>
      <c r="M7" s="8"/>
      <c r="N7" s="8"/>
      <c r="O7" s="8"/>
      <c r="Q7" s="121" t="s">
        <v>7</v>
      </c>
      <c r="R7" s="122" t="s">
        <v>8</v>
      </c>
      <c r="S7" s="123" t="s">
        <v>9</v>
      </c>
      <c r="T7" s="124" t="s">
        <v>10</v>
      </c>
      <c r="U7" s="125" t="s">
        <v>11</v>
      </c>
      <c r="V7" s="125" t="s">
        <v>12</v>
      </c>
      <c r="W7" s="8"/>
      <c r="X7" s="8"/>
      <c r="Y7" s="8"/>
      <c r="Z7" s="8"/>
      <c r="AA7" s="8"/>
    </row>
    <row r="8">
      <c r="C8" s="15" t="s">
        <v>13</v>
      </c>
      <c r="D8" s="16"/>
      <c r="E8" s="17"/>
      <c r="F8" s="17"/>
      <c r="G8" s="17"/>
      <c r="H8" s="17"/>
      <c r="I8" s="17"/>
      <c r="J8" s="18"/>
      <c r="K8" s="18"/>
      <c r="L8" s="18"/>
      <c r="M8" s="18"/>
      <c r="N8" s="19"/>
      <c r="O8" s="19"/>
      <c r="Q8" s="126">
        <v>5.0</v>
      </c>
      <c r="R8" s="127">
        <v>4.0</v>
      </c>
      <c r="S8" s="128">
        <v>3.0</v>
      </c>
      <c r="T8" s="129">
        <v>2.0</v>
      </c>
      <c r="U8" s="130">
        <v>1.0</v>
      </c>
      <c r="V8" s="130">
        <v>0.0</v>
      </c>
    </row>
    <row r="9">
      <c r="C9" s="19"/>
      <c r="E9" s="19"/>
      <c r="F9" s="19"/>
      <c r="G9" s="19"/>
      <c r="H9" s="19"/>
      <c r="I9" s="19"/>
      <c r="T9" s="19" t="s">
        <v>14</v>
      </c>
    </row>
    <row r="10">
      <c r="C10" s="19"/>
      <c r="E10" s="19"/>
      <c r="F10" s="19"/>
      <c r="G10" s="19"/>
      <c r="H10" s="19"/>
      <c r="I10" s="19"/>
      <c r="T10" s="19"/>
    </row>
    <row r="11">
      <c r="C11" s="19"/>
      <c r="E11" s="19"/>
      <c r="F11" s="19"/>
      <c r="G11" s="21" t="s">
        <v>55</v>
      </c>
      <c r="H11" s="21" t="s">
        <v>56</v>
      </c>
      <c r="I11" s="20"/>
      <c r="J11" s="20"/>
      <c r="K11" s="20"/>
      <c r="L11" s="21" t="s">
        <v>57</v>
      </c>
      <c r="M11" s="20"/>
      <c r="N11" s="20"/>
      <c r="O11" s="20"/>
      <c r="P11" s="21" t="s">
        <v>58</v>
      </c>
      <c r="Q11" s="20"/>
      <c r="R11" s="20"/>
      <c r="S11" s="20"/>
      <c r="T11" s="21" t="s">
        <v>59</v>
      </c>
      <c r="U11" s="20"/>
      <c r="V11" s="21"/>
      <c r="X11" s="21" t="s">
        <v>60</v>
      </c>
    </row>
    <row r="12">
      <c r="G12" s="20"/>
      <c r="H12" s="22">
        <v>1.0</v>
      </c>
      <c r="I12" s="24">
        <v>2.0</v>
      </c>
      <c r="J12" s="24">
        <v>3.0</v>
      </c>
      <c r="K12" s="26"/>
      <c r="L12" s="24">
        <v>1.0</v>
      </c>
      <c r="M12" s="24">
        <v>2.0</v>
      </c>
      <c r="N12" s="29">
        <v>3.0</v>
      </c>
      <c r="O12" s="26"/>
      <c r="P12" s="24">
        <v>1.0</v>
      </c>
      <c r="Q12" s="24">
        <v>2.0</v>
      </c>
      <c r="R12" s="30">
        <v>3.0</v>
      </c>
      <c r="S12" s="26"/>
      <c r="T12" s="24">
        <v>1.0</v>
      </c>
      <c r="U12" s="26"/>
      <c r="V12" s="24"/>
    </row>
    <row r="13">
      <c r="G13" s="21"/>
      <c r="H13" s="31" t="s">
        <v>61</v>
      </c>
      <c r="I13" s="25"/>
      <c r="J13" s="25"/>
      <c r="K13" s="26"/>
      <c r="L13" s="32" t="s">
        <v>36</v>
      </c>
      <c r="M13" s="25"/>
      <c r="N13" s="25"/>
      <c r="O13" s="26"/>
      <c r="P13" s="32" t="s">
        <v>42</v>
      </c>
      <c r="Q13" s="28"/>
      <c r="R13" s="33"/>
      <c r="S13" s="26"/>
      <c r="T13" s="32" t="s">
        <v>48</v>
      </c>
      <c r="U13" s="26"/>
      <c r="V13" s="32"/>
    </row>
    <row r="14">
      <c r="G14" s="21" t="s">
        <v>16</v>
      </c>
      <c r="H14" s="36" t="s">
        <v>62</v>
      </c>
      <c r="I14" s="37" t="s">
        <v>63</v>
      </c>
      <c r="J14" s="37" t="s">
        <v>64</v>
      </c>
      <c r="K14" s="38"/>
      <c r="L14" s="37" t="s">
        <v>65</v>
      </c>
      <c r="M14" s="37" t="s">
        <v>66</v>
      </c>
      <c r="N14" s="37" t="s">
        <v>67</v>
      </c>
      <c r="O14" s="38"/>
      <c r="P14" s="39" t="s">
        <v>68</v>
      </c>
      <c r="Q14" s="37" t="s">
        <v>69</v>
      </c>
      <c r="R14" s="37" t="s">
        <v>70</v>
      </c>
      <c r="S14" s="38"/>
      <c r="T14" s="37" t="s">
        <v>71</v>
      </c>
      <c r="U14" s="38"/>
      <c r="V14" s="37"/>
    </row>
    <row r="15">
      <c r="G15" s="21" t="s">
        <v>72</v>
      </c>
      <c r="H15" s="40">
        <v>2.0</v>
      </c>
      <c r="I15" s="30">
        <v>2.0</v>
      </c>
      <c r="J15" s="30">
        <v>2.0</v>
      </c>
      <c r="K15" s="41"/>
      <c r="L15" s="30">
        <v>2.0</v>
      </c>
      <c r="M15" s="30">
        <v>2.0</v>
      </c>
      <c r="N15" s="30">
        <v>2.0</v>
      </c>
      <c r="O15" s="41"/>
      <c r="P15" s="42">
        <v>3.0</v>
      </c>
      <c r="Q15" s="30">
        <v>3.0</v>
      </c>
      <c r="R15" s="30">
        <v>3.0</v>
      </c>
      <c r="S15" s="41"/>
      <c r="T15" s="30">
        <v>3.0</v>
      </c>
      <c r="U15" s="41"/>
      <c r="V15" s="30"/>
    </row>
    <row r="16">
      <c r="G16" s="21" t="s">
        <v>73</v>
      </c>
      <c r="H16" s="40" t="s">
        <v>47</v>
      </c>
      <c r="I16" s="30" t="s">
        <v>74</v>
      </c>
      <c r="J16" s="30" t="s">
        <v>75</v>
      </c>
      <c r="K16" s="41"/>
      <c r="L16" s="30" t="s">
        <v>76</v>
      </c>
      <c r="M16" s="30" t="s">
        <v>76</v>
      </c>
      <c r="N16" s="30" t="s">
        <v>77</v>
      </c>
      <c r="O16" s="41"/>
      <c r="P16" s="42" t="s">
        <v>78</v>
      </c>
      <c r="Q16" s="30" t="s">
        <v>79</v>
      </c>
      <c r="R16" s="30" t="s">
        <v>80</v>
      </c>
      <c r="S16" s="41"/>
      <c r="T16" s="30" t="s">
        <v>81</v>
      </c>
      <c r="U16" s="41"/>
      <c r="V16" s="30"/>
    </row>
    <row r="17">
      <c r="G17" s="21" t="s">
        <v>18</v>
      </c>
      <c r="H17" s="43">
        <v>1.0</v>
      </c>
      <c r="I17" s="44">
        <v>8.0</v>
      </c>
      <c r="J17" s="44">
        <v>5.0</v>
      </c>
      <c r="K17" s="41"/>
      <c r="L17" s="44">
        <v>3.0</v>
      </c>
      <c r="M17" s="44">
        <v>3.0</v>
      </c>
      <c r="N17" s="44">
        <v>10.0</v>
      </c>
      <c r="O17" s="41"/>
      <c r="P17" s="42">
        <v>3.0</v>
      </c>
      <c r="Q17" s="44">
        <v>3.0</v>
      </c>
      <c r="R17" s="44">
        <v>7.0</v>
      </c>
      <c r="S17" s="41"/>
      <c r="T17" s="44">
        <v>2.0</v>
      </c>
      <c r="U17" s="41"/>
      <c r="V17" s="44"/>
    </row>
    <row r="18">
      <c r="E18" s="21" t="s">
        <v>55</v>
      </c>
      <c r="F18" s="21" t="s">
        <v>15</v>
      </c>
      <c r="G18" s="21" t="s">
        <v>19</v>
      </c>
      <c r="H18" s="45" t="s">
        <v>31</v>
      </c>
      <c r="I18" s="46" t="s">
        <v>31</v>
      </c>
      <c r="J18" s="46" t="s">
        <v>31</v>
      </c>
      <c r="K18" s="41"/>
      <c r="L18" s="44" t="s">
        <v>238</v>
      </c>
      <c r="M18" s="44" t="s">
        <v>238</v>
      </c>
      <c r="N18" s="44" t="s">
        <v>238</v>
      </c>
      <c r="O18" s="41"/>
      <c r="P18" s="44" t="s">
        <v>42</v>
      </c>
      <c r="Q18" s="44" t="s">
        <v>42</v>
      </c>
      <c r="R18" s="44" t="s">
        <v>42</v>
      </c>
      <c r="S18" s="41"/>
      <c r="T18" s="46" t="s">
        <v>48</v>
      </c>
      <c r="U18" s="41"/>
      <c r="V18" s="46"/>
    </row>
    <row r="19">
      <c r="E19" s="19" t="s">
        <v>57</v>
      </c>
      <c r="F19" s="68" t="s">
        <v>153</v>
      </c>
      <c r="L19" s="86" t="s">
        <v>154</v>
      </c>
      <c r="M19" s="85"/>
      <c r="N19" s="34"/>
    </row>
    <row r="20">
      <c r="E20" s="19" t="s">
        <v>57</v>
      </c>
      <c r="F20" s="87" t="s">
        <v>155</v>
      </c>
      <c r="L20" s="88" t="s">
        <v>156</v>
      </c>
      <c r="M20" s="85"/>
      <c r="N20" s="85"/>
    </row>
    <row r="21">
      <c r="E21" s="19" t="s">
        <v>57</v>
      </c>
      <c r="F21" s="87" t="s">
        <v>157</v>
      </c>
      <c r="L21" s="85"/>
      <c r="M21" s="89" t="s">
        <v>158</v>
      </c>
      <c r="N21" s="85"/>
    </row>
    <row r="22">
      <c r="E22" s="19" t="s">
        <v>57</v>
      </c>
      <c r="F22" s="87" t="s">
        <v>159</v>
      </c>
      <c r="L22" s="85"/>
      <c r="M22" s="89" t="s">
        <v>160</v>
      </c>
      <c r="N22" s="85"/>
    </row>
    <row r="23">
      <c r="E23" s="19" t="s">
        <v>57</v>
      </c>
      <c r="F23" s="87" t="s">
        <v>161</v>
      </c>
      <c r="L23" s="85"/>
      <c r="M23" s="90"/>
      <c r="N23" s="91" t="s">
        <v>239</v>
      </c>
      <c r="T23" s="19"/>
    </row>
    <row r="24">
      <c r="E24" s="19" t="s">
        <v>57</v>
      </c>
      <c r="F24" s="87" t="s">
        <v>163</v>
      </c>
      <c r="G24" s="21"/>
      <c r="M24" s="85"/>
      <c r="N24" s="92" t="s">
        <v>164</v>
      </c>
    </row>
    <row r="25">
      <c r="F25" s="61"/>
      <c r="G25" s="21"/>
      <c r="N25" s="19"/>
    </row>
    <row r="26">
      <c r="G26" s="21"/>
    </row>
    <row r="27">
      <c r="G27" s="21"/>
    </row>
    <row r="28">
      <c r="G28" s="21"/>
    </row>
    <row r="29">
      <c r="G29" s="21"/>
    </row>
    <row r="30">
      <c r="G30" s="21"/>
    </row>
    <row r="31">
      <c r="G31" s="21"/>
    </row>
  </sheetData>
  <mergeCells count="4">
    <mergeCell ref="C1:I1"/>
    <mergeCell ref="C2:I2"/>
    <mergeCell ref="C3:I3"/>
    <mergeCell ref="C4:I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1" width="4.63"/>
    <col customWidth="1" min="2" max="2" width="4.38"/>
    <col customWidth="1" min="3" max="3" width="13.38"/>
    <col customWidth="1" hidden="1" min="4" max="4" width="10.13"/>
    <col customWidth="1" min="5" max="5" width="12.63"/>
    <col customWidth="1" min="6" max="6" width="48.63"/>
    <col customWidth="1" min="7" max="7" width="8.75"/>
    <col customWidth="1" min="8" max="8" width="21.25"/>
    <col customWidth="1" min="9" max="9" width="29.0"/>
    <col customWidth="1" min="10" max="10" width="33.75"/>
    <col customWidth="1" min="11" max="11" width="7.75"/>
    <col customWidth="1" min="12" max="12" width="15.75"/>
    <col customWidth="1" min="13" max="13" width="10.0"/>
    <col customWidth="1" min="14" max="14" width="7.5"/>
    <col customWidth="1" min="15" max="15" width="7.25"/>
    <col customWidth="1" min="16" max="16" width="20.88"/>
    <col customWidth="1" min="19" max="19" width="11.25"/>
    <col customWidth="1" min="23" max="23" width="11.0"/>
  </cols>
  <sheetData>
    <row r="1">
      <c r="C1" s="1" t="s">
        <v>0</v>
      </c>
    </row>
    <row r="2">
      <c r="C2" s="2" t="s">
        <v>1</v>
      </c>
    </row>
    <row r="3">
      <c r="C3" s="1" t="s">
        <v>2</v>
      </c>
    </row>
    <row r="4">
      <c r="C4" s="3" t="s">
        <v>3</v>
      </c>
    </row>
    <row r="5">
      <c r="C5" s="4" t="s">
        <v>4</v>
      </c>
      <c r="D5" s="5"/>
      <c r="E5" s="6"/>
      <c r="F5" s="6"/>
      <c r="G5" s="6"/>
      <c r="H5" s="6"/>
      <c r="I5" s="6"/>
    </row>
    <row r="6">
      <c r="C6" s="4" t="s">
        <v>5</v>
      </c>
      <c r="D6" s="5"/>
      <c r="E6" s="6"/>
      <c r="F6" s="6"/>
      <c r="G6" s="6"/>
      <c r="H6" s="6"/>
      <c r="I6" s="6"/>
      <c r="O6" s="26"/>
      <c r="P6" s="26"/>
      <c r="Q6" s="26"/>
      <c r="R6" s="57"/>
      <c r="S6" s="7" t="s">
        <v>6</v>
      </c>
      <c r="T6" s="26"/>
      <c r="U6" s="26"/>
      <c r="V6" s="26"/>
    </row>
    <row r="7">
      <c r="A7" s="8"/>
      <c r="B7" s="8"/>
      <c r="C7" s="9"/>
      <c r="D7" s="10"/>
      <c r="E7" s="9"/>
      <c r="F7" s="9"/>
      <c r="G7" s="9"/>
      <c r="H7" s="9"/>
      <c r="I7" s="9"/>
      <c r="J7" s="8"/>
      <c r="K7" s="8"/>
      <c r="L7" s="8"/>
      <c r="M7" s="8"/>
      <c r="N7" s="8"/>
      <c r="O7" s="26"/>
      <c r="P7" s="57"/>
      <c r="Q7" s="121" t="s">
        <v>7</v>
      </c>
      <c r="R7" s="122" t="s">
        <v>8</v>
      </c>
      <c r="S7" s="123" t="s">
        <v>9</v>
      </c>
      <c r="T7" s="124" t="s">
        <v>10</v>
      </c>
      <c r="U7" s="125" t="s">
        <v>11</v>
      </c>
      <c r="V7" s="125" t="s">
        <v>12</v>
      </c>
      <c r="W7" s="8"/>
      <c r="X7" s="8"/>
      <c r="Y7" s="8"/>
      <c r="Z7" s="8"/>
      <c r="AA7" s="8"/>
    </row>
    <row r="8">
      <c r="C8" s="15" t="s">
        <v>13</v>
      </c>
      <c r="D8" s="16"/>
      <c r="E8" s="17"/>
      <c r="F8" s="17"/>
      <c r="G8" s="17"/>
      <c r="H8" s="17"/>
      <c r="I8" s="17"/>
      <c r="J8" s="18"/>
      <c r="O8" s="131"/>
      <c r="P8" s="132"/>
      <c r="Q8" s="126">
        <v>5.0</v>
      </c>
      <c r="R8" s="127">
        <v>4.0</v>
      </c>
      <c r="S8" s="128">
        <v>3.0</v>
      </c>
      <c r="T8" s="129">
        <v>2.0</v>
      </c>
      <c r="U8" s="130">
        <v>1.0</v>
      </c>
      <c r="V8" s="130">
        <v>0.0</v>
      </c>
    </row>
    <row r="9">
      <c r="C9" s="19"/>
      <c r="E9" s="19"/>
      <c r="F9" s="19"/>
      <c r="G9" s="19"/>
      <c r="H9" s="19"/>
      <c r="I9" s="19"/>
      <c r="T9" s="19" t="s">
        <v>14</v>
      </c>
    </row>
    <row r="10">
      <c r="C10" s="19"/>
      <c r="E10" s="19"/>
      <c r="F10" s="19"/>
      <c r="G10" s="19"/>
      <c r="H10" s="19"/>
      <c r="I10" s="19"/>
    </row>
    <row r="11">
      <c r="G11" s="21" t="s">
        <v>55</v>
      </c>
      <c r="H11" s="21" t="s">
        <v>56</v>
      </c>
      <c r="I11" s="20"/>
      <c r="J11" s="20"/>
      <c r="K11" s="20"/>
      <c r="L11" s="21" t="s">
        <v>57</v>
      </c>
      <c r="M11" s="20"/>
      <c r="N11" s="20"/>
      <c r="O11" s="20"/>
      <c r="P11" s="21" t="s">
        <v>58</v>
      </c>
      <c r="Q11" s="20"/>
      <c r="R11" s="20"/>
      <c r="S11" s="20"/>
      <c r="T11" s="21" t="s">
        <v>59</v>
      </c>
      <c r="U11" s="20"/>
      <c r="V11" s="21"/>
      <c r="X11" s="21" t="s">
        <v>60</v>
      </c>
    </row>
    <row r="12">
      <c r="G12" s="20"/>
      <c r="H12" s="22">
        <v>1.0</v>
      </c>
      <c r="I12" s="24">
        <v>2.0</v>
      </c>
      <c r="J12" s="24">
        <v>3.0</v>
      </c>
      <c r="K12" s="26"/>
      <c r="L12" s="24">
        <v>1.0</v>
      </c>
      <c r="M12" s="24">
        <v>2.0</v>
      </c>
      <c r="N12" s="29">
        <v>3.0</v>
      </c>
      <c r="O12" s="26"/>
      <c r="P12" s="24">
        <v>1.0</v>
      </c>
      <c r="Q12" s="24">
        <v>2.0</v>
      </c>
      <c r="R12" s="30">
        <v>3.0</v>
      </c>
      <c r="S12" s="26"/>
      <c r="T12" s="24">
        <v>1.0</v>
      </c>
      <c r="U12" s="26"/>
      <c r="V12" s="24"/>
    </row>
    <row r="13">
      <c r="G13" s="21"/>
      <c r="H13" s="31" t="s">
        <v>61</v>
      </c>
      <c r="I13" s="25"/>
      <c r="J13" s="25"/>
      <c r="K13" s="26"/>
      <c r="L13" s="32" t="s">
        <v>36</v>
      </c>
      <c r="M13" s="25"/>
      <c r="N13" s="25"/>
      <c r="O13" s="26"/>
      <c r="P13" s="32" t="s">
        <v>42</v>
      </c>
      <c r="Q13" s="28"/>
      <c r="R13" s="33"/>
      <c r="S13" s="26"/>
      <c r="T13" s="32" t="s">
        <v>48</v>
      </c>
      <c r="U13" s="26"/>
      <c r="V13" s="32"/>
    </row>
    <row r="14">
      <c r="G14" s="21" t="s">
        <v>16</v>
      </c>
      <c r="H14" s="36" t="s">
        <v>62</v>
      </c>
      <c r="I14" s="37" t="s">
        <v>63</v>
      </c>
      <c r="J14" s="37" t="s">
        <v>64</v>
      </c>
      <c r="K14" s="38"/>
      <c r="L14" s="37" t="s">
        <v>65</v>
      </c>
      <c r="M14" s="37" t="s">
        <v>66</v>
      </c>
      <c r="N14" s="37" t="s">
        <v>67</v>
      </c>
      <c r="O14" s="38"/>
      <c r="P14" s="39" t="s">
        <v>68</v>
      </c>
      <c r="Q14" s="37" t="s">
        <v>69</v>
      </c>
      <c r="R14" s="37" t="s">
        <v>70</v>
      </c>
      <c r="S14" s="38"/>
      <c r="T14" s="37" t="s">
        <v>71</v>
      </c>
      <c r="U14" s="38"/>
      <c r="V14" s="37"/>
    </row>
    <row r="15">
      <c r="G15" s="21" t="s">
        <v>72</v>
      </c>
      <c r="H15" s="40">
        <v>2.0</v>
      </c>
      <c r="I15" s="30">
        <v>2.0</v>
      </c>
      <c r="J15" s="30">
        <v>2.0</v>
      </c>
      <c r="K15" s="41"/>
      <c r="L15" s="30">
        <v>2.0</v>
      </c>
      <c r="M15" s="30">
        <v>2.0</v>
      </c>
      <c r="N15" s="30">
        <v>2.0</v>
      </c>
      <c r="O15" s="41"/>
      <c r="P15" s="42">
        <v>3.0</v>
      </c>
      <c r="Q15" s="30">
        <v>3.0</v>
      </c>
      <c r="R15" s="30">
        <v>3.0</v>
      </c>
      <c r="S15" s="41"/>
      <c r="T15" s="30">
        <v>3.0</v>
      </c>
      <c r="U15" s="41"/>
      <c r="V15" s="30"/>
    </row>
    <row r="16">
      <c r="G16" s="21" t="s">
        <v>73</v>
      </c>
      <c r="H16" s="40" t="s">
        <v>47</v>
      </c>
      <c r="I16" s="30" t="s">
        <v>74</v>
      </c>
      <c r="J16" s="30" t="s">
        <v>75</v>
      </c>
      <c r="K16" s="41"/>
      <c r="L16" s="30" t="s">
        <v>76</v>
      </c>
      <c r="M16" s="30" t="s">
        <v>76</v>
      </c>
      <c r="N16" s="30" t="s">
        <v>77</v>
      </c>
      <c r="O16" s="41"/>
      <c r="P16" s="42" t="s">
        <v>78</v>
      </c>
      <c r="Q16" s="30" t="s">
        <v>79</v>
      </c>
      <c r="R16" s="30" t="s">
        <v>80</v>
      </c>
      <c r="S16" s="41"/>
      <c r="T16" s="30" t="s">
        <v>81</v>
      </c>
      <c r="U16" s="41"/>
      <c r="V16" s="30"/>
    </row>
    <row r="17">
      <c r="G17" s="21" t="s">
        <v>18</v>
      </c>
      <c r="H17" s="43">
        <v>1.0</v>
      </c>
      <c r="I17" s="44">
        <v>8.0</v>
      </c>
      <c r="J17" s="44">
        <v>5.0</v>
      </c>
      <c r="K17" s="41"/>
      <c r="L17" s="44">
        <v>3.0</v>
      </c>
      <c r="M17" s="44">
        <v>3.0</v>
      </c>
      <c r="N17" s="44">
        <v>10.0</v>
      </c>
      <c r="O17" s="41"/>
      <c r="P17" s="42">
        <v>3.0</v>
      </c>
      <c r="Q17" s="44">
        <v>3.0</v>
      </c>
      <c r="R17" s="44">
        <v>7.0</v>
      </c>
      <c r="S17" s="41"/>
      <c r="T17" s="44">
        <v>2.0</v>
      </c>
      <c r="U17" s="41"/>
      <c r="V17" s="44"/>
    </row>
    <row r="18">
      <c r="E18" s="21" t="s">
        <v>55</v>
      </c>
      <c r="F18" s="21" t="s">
        <v>15</v>
      </c>
      <c r="G18" s="21" t="s">
        <v>19</v>
      </c>
      <c r="H18" s="45" t="s">
        <v>31</v>
      </c>
      <c r="I18" s="46" t="s">
        <v>31</v>
      </c>
      <c r="J18" s="46" t="s">
        <v>31</v>
      </c>
      <c r="K18" s="41"/>
      <c r="L18" s="46" t="s">
        <v>39</v>
      </c>
      <c r="M18" s="46" t="s">
        <v>39</v>
      </c>
      <c r="N18" s="46" t="s">
        <v>39</v>
      </c>
      <c r="O18" s="41"/>
      <c r="P18" s="44" t="s">
        <v>42</v>
      </c>
      <c r="Q18" s="44" t="s">
        <v>42</v>
      </c>
      <c r="R18" s="44" t="s">
        <v>42</v>
      </c>
      <c r="S18" s="41"/>
      <c r="T18" s="46" t="s">
        <v>48</v>
      </c>
      <c r="U18" s="41"/>
      <c r="V18" s="46"/>
    </row>
    <row r="19">
      <c r="E19" s="21"/>
    </row>
    <row r="20">
      <c r="E20" s="21" t="s">
        <v>145</v>
      </c>
      <c r="F20" s="96" t="s">
        <v>171</v>
      </c>
      <c r="H20" s="7">
        <v>2.0</v>
      </c>
      <c r="I20" s="7">
        <v>2.0</v>
      </c>
      <c r="J20" s="7">
        <v>2.0</v>
      </c>
    </row>
    <row r="21">
      <c r="E21" s="21" t="s">
        <v>175</v>
      </c>
      <c r="F21" s="96" t="s">
        <v>176</v>
      </c>
      <c r="G21" s="21"/>
      <c r="H21" s="7" t="s">
        <v>177</v>
      </c>
      <c r="I21" s="7" t="s">
        <v>178</v>
      </c>
      <c r="J21" s="7" t="s">
        <v>178</v>
      </c>
      <c r="T21" s="7" t="s">
        <v>179</v>
      </c>
    </row>
    <row r="22">
      <c r="E22" s="21" t="s">
        <v>145</v>
      </c>
      <c r="F22" s="83" t="s">
        <v>150</v>
      </c>
      <c r="G22" s="21"/>
      <c r="H22" s="7" t="s">
        <v>182</v>
      </c>
      <c r="I22" s="7"/>
      <c r="J22" s="7" t="s">
        <v>183</v>
      </c>
      <c r="T22" s="7" t="s">
        <v>179</v>
      </c>
    </row>
    <row r="23">
      <c r="E23" s="21" t="s">
        <v>145</v>
      </c>
      <c r="F23" s="83" t="s">
        <v>189</v>
      </c>
      <c r="G23" s="21"/>
      <c r="H23" s="19"/>
      <c r="J23" s="7" t="s">
        <v>190</v>
      </c>
      <c r="T23" s="7" t="s">
        <v>132</v>
      </c>
    </row>
    <row r="24">
      <c r="A24" s="103"/>
      <c r="B24" s="103"/>
      <c r="C24" s="103"/>
      <c r="D24" s="103"/>
      <c r="E24" s="21" t="s">
        <v>175</v>
      </c>
      <c r="F24" s="83" t="s">
        <v>194</v>
      </c>
      <c r="G24" s="21"/>
      <c r="I24" s="7" t="s">
        <v>177</v>
      </c>
      <c r="T24" s="7" t="s">
        <v>132</v>
      </c>
      <c r="W24" s="103"/>
      <c r="X24" s="103"/>
      <c r="Y24" s="103"/>
      <c r="Z24" s="103"/>
      <c r="AA24" s="103"/>
    </row>
    <row r="25">
      <c r="E25" s="21" t="s">
        <v>145</v>
      </c>
      <c r="F25" s="83" t="s">
        <v>197</v>
      </c>
      <c r="G25" s="21"/>
      <c r="H25" s="19"/>
      <c r="I25" s="7" t="s">
        <v>198</v>
      </c>
      <c r="T25" s="7" t="s">
        <v>179</v>
      </c>
    </row>
    <row r="26">
      <c r="E26" s="21" t="s">
        <v>175</v>
      </c>
      <c r="F26" s="96" t="s">
        <v>201</v>
      </c>
      <c r="G26" s="21"/>
      <c r="I26" s="19"/>
      <c r="J26" s="105" t="s">
        <v>202</v>
      </c>
    </row>
    <row r="27">
      <c r="E27" s="21" t="s">
        <v>175</v>
      </c>
      <c r="F27" s="96" t="s">
        <v>205</v>
      </c>
      <c r="G27" s="21"/>
      <c r="I27" s="19"/>
      <c r="J27" s="106" t="s">
        <v>206</v>
      </c>
      <c r="T27" s="7" t="s">
        <v>179</v>
      </c>
    </row>
    <row r="28">
      <c r="E28" s="21" t="s">
        <v>175</v>
      </c>
      <c r="F28" s="96" t="s">
        <v>208</v>
      </c>
      <c r="G28" s="21"/>
      <c r="I28" s="19"/>
      <c r="J28" s="7" t="s">
        <v>209</v>
      </c>
    </row>
    <row r="29">
      <c r="E29" s="21" t="s">
        <v>175</v>
      </c>
      <c r="F29" s="61" t="s">
        <v>212</v>
      </c>
      <c r="G29" s="21"/>
      <c r="J29" s="7" t="s">
        <v>213</v>
      </c>
    </row>
    <row r="33" ht="102.75" customHeight="1"/>
  </sheetData>
  <mergeCells count="4">
    <mergeCell ref="C1:I1"/>
    <mergeCell ref="C2:I2"/>
    <mergeCell ref="C3:I3"/>
    <mergeCell ref="C4:I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2" width="4.38"/>
    <col customWidth="1" min="3" max="3" width="13.38"/>
    <col customWidth="1" hidden="1" min="4" max="4" width="10.13"/>
    <col customWidth="1" min="5" max="5" width="14.0"/>
    <col customWidth="1" min="6" max="6" width="18.88"/>
    <col customWidth="1" min="7" max="7" width="7.75"/>
    <col customWidth="1" min="8" max="8" width="13.63"/>
    <col customWidth="1" min="9" max="9" width="12.25"/>
    <col customWidth="1" min="10" max="10" width="12.0"/>
    <col customWidth="1" min="11" max="11" width="8.13"/>
    <col customWidth="1" min="12" max="14" width="17.25"/>
    <col customWidth="1" min="15" max="15" width="8.75"/>
    <col customWidth="1" min="17" max="17" width="10.63"/>
    <col customWidth="1" min="22" max="22" width="19.25"/>
  </cols>
  <sheetData>
    <row r="1">
      <c r="A1" s="7" t="s">
        <v>234</v>
      </c>
      <c r="C1" s="1" t="s">
        <v>0</v>
      </c>
    </row>
    <row r="2">
      <c r="C2" s="2" t="s">
        <v>1</v>
      </c>
      <c r="L2" s="19" t="s">
        <v>235</v>
      </c>
    </row>
    <row r="3">
      <c r="C3" s="1" t="s">
        <v>2</v>
      </c>
      <c r="L3" s="19" t="s">
        <v>236</v>
      </c>
    </row>
    <row r="4">
      <c r="C4" s="3" t="s">
        <v>3</v>
      </c>
      <c r="L4" s="19" t="s">
        <v>237</v>
      </c>
    </row>
    <row r="5">
      <c r="C5" s="4" t="s">
        <v>4</v>
      </c>
      <c r="D5" s="5"/>
      <c r="E5" s="6"/>
      <c r="F5" s="6"/>
      <c r="G5" s="6"/>
      <c r="H5" s="6"/>
      <c r="I5" s="6"/>
    </row>
    <row r="6">
      <c r="C6" s="4" t="s">
        <v>5</v>
      </c>
      <c r="D6" s="5"/>
      <c r="E6" s="6"/>
      <c r="F6" s="6"/>
      <c r="G6" s="6"/>
      <c r="H6" s="6"/>
      <c r="I6" s="6"/>
      <c r="Q6" s="26"/>
      <c r="R6" s="57"/>
      <c r="S6" s="7" t="s">
        <v>6</v>
      </c>
      <c r="T6" s="26"/>
      <c r="U6" s="26"/>
      <c r="V6" s="26"/>
    </row>
    <row r="7">
      <c r="A7" s="8"/>
      <c r="B7" s="8"/>
      <c r="C7" s="9"/>
      <c r="D7" s="10"/>
      <c r="E7" s="9"/>
      <c r="F7" s="9"/>
      <c r="G7" s="9"/>
      <c r="H7" s="9"/>
      <c r="I7" s="9"/>
      <c r="J7" s="8"/>
      <c r="K7" s="8"/>
      <c r="L7" s="8"/>
      <c r="M7" s="8"/>
      <c r="N7" s="8"/>
      <c r="O7" s="8"/>
      <c r="Q7" s="121" t="s">
        <v>7</v>
      </c>
      <c r="R7" s="122" t="s">
        <v>8</v>
      </c>
      <c r="S7" s="123" t="s">
        <v>9</v>
      </c>
      <c r="T7" s="124" t="s">
        <v>10</v>
      </c>
      <c r="U7" s="125" t="s">
        <v>11</v>
      </c>
      <c r="V7" s="125" t="s">
        <v>12</v>
      </c>
      <c r="W7" s="8"/>
      <c r="X7" s="8"/>
      <c r="Y7" s="8"/>
      <c r="Z7" s="8"/>
      <c r="AA7" s="8"/>
    </row>
    <row r="8">
      <c r="C8" s="15" t="s">
        <v>13</v>
      </c>
      <c r="D8" s="16"/>
      <c r="E8" s="17"/>
      <c r="F8" s="17"/>
      <c r="G8" s="17"/>
      <c r="H8" s="17"/>
      <c r="I8" s="17"/>
      <c r="J8" s="18"/>
      <c r="K8" s="18"/>
      <c r="L8" s="18"/>
      <c r="M8" s="18"/>
      <c r="N8" s="19"/>
      <c r="O8" s="19"/>
      <c r="Q8" s="126">
        <v>5.0</v>
      </c>
      <c r="R8" s="127">
        <v>4.0</v>
      </c>
      <c r="S8" s="128">
        <v>3.0</v>
      </c>
      <c r="T8" s="129">
        <v>2.0</v>
      </c>
      <c r="U8" s="130">
        <v>1.0</v>
      </c>
      <c r="V8" s="130">
        <v>0.0</v>
      </c>
    </row>
    <row r="9">
      <c r="C9" s="19"/>
      <c r="E9" s="19"/>
      <c r="F9" s="19"/>
      <c r="G9" s="19"/>
      <c r="H9" s="19"/>
      <c r="I9" s="19"/>
      <c r="T9" s="19" t="s">
        <v>14</v>
      </c>
    </row>
    <row r="10">
      <c r="C10" s="19"/>
      <c r="E10" s="19"/>
      <c r="F10" s="19"/>
      <c r="G10" s="19"/>
      <c r="H10" s="19"/>
      <c r="I10" s="19"/>
      <c r="T10" s="19"/>
    </row>
    <row r="11">
      <c r="C11" s="19"/>
      <c r="E11" s="19"/>
      <c r="F11" s="19"/>
      <c r="G11" s="21" t="s">
        <v>55</v>
      </c>
      <c r="H11" s="21" t="s">
        <v>56</v>
      </c>
      <c r="I11" s="20"/>
      <c r="J11" s="20"/>
      <c r="K11" s="20"/>
      <c r="L11" s="21" t="s">
        <v>57</v>
      </c>
      <c r="M11" s="20"/>
      <c r="N11" s="20"/>
      <c r="O11" s="20"/>
      <c r="P11" s="21" t="s">
        <v>58</v>
      </c>
      <c r="Q11" s="20"/>
      <c r="R11" s="20"/>
      <c r="S11" s="20"/>
      <c r="T11" s="21" t="s">
        <v>59</v>
      </c>
      <c r="U11" s="20"/>
      <c r="V11" s="21"/>
      <c r="X11" s="21" t="s">
        <v>60</v>
      </c>
    </row>
    <row r="12">
      <c r="G12" s="20"/>
      <c r="H12" s="22">
        <v>1.0</v>
      </c>
      <c r="I12" s="24">
        <v>2.0</v>
      </c>
      <c r="J12" s="24">
        <v>3.0</v>
      </c>
      <c r="K12" s="26"/>
      <c r="L12" s="24">
        <v>1.0</v>
      </c>
      <c r="M12" s="24">
        <v>2.0</v>
      </c>
      <c r="N12" s="29">
        <v>3.0</v>
      </c>
      <c r="O12" s="26"/>
      <c r="P12" s="24">
        <v>1.0</v>
      </c>
      <c r="Q12" s="24">
        <v>2.0</v>
      </c>
      <c r="R12" s="30">
        <v>3.0</v>
      </c>
      <c r="S12" s="26"/>
      <c r="T12" s="24">
        <v>1.0</v>
      </c>
      <c r="U12" s="26"/>
      <c r="V12" s="24"/>
    </row>
    <row r="13">
      <c r="G13" s="21"/>
      <c r="H13" s="31" t="s">
        <v>61</v>
      </c>
      <c r="I13" s="25"/>
      <c r="J13" s="25"/>
      <c r="K13" s="26"/>
      <c r="L13" s="32" t="s">
        <v>36</v>
      </c>
      <c r="M13" s="25"/>
      <c r="N13" s="25"/>
      <c r="O13" s="26"/>
      <c r="P13" s="32" t="s">
        <v>42</v>
      </c>
      <c r="Q13" s="28"/>
      <c r="R13" s="33"/>
      <c r="S13" s="26"/>
      <c r="T13" s="32" t="s">
        <v>48</v>
      </c>
      <c r="U13" s="26"/>
      <c r="V13" s="32"/>
    </row>
    <row r="14">
      <c r="G14" s="21" t="s">
        <v>16</v>
      </c>
      <c r="H14" s="36" t="s">
        <v>240</v>
      </c>
      <c r="I14" s="37" t="s">
        <v>68</v>
      </c>
      <c r="J14" s="37" t="s">
        <v>241</v>
      </c>
      <c r="K14" s="38"/>
      <c r="L14" s="37" t="s">
        <v>242</v>
      </c>
      <c r="M14" s="37" t="s">
        <v>66</v>
      </c>
      <c r="N14" s="37" t="s">
        <v>243</v>
      </c>
      <c r="O14" s="38"/>
      <c r="P14" s="37" t="s">
        <v>244</v>
      </c>
      <c r="Q14" s="37" t="s">
        <v>245</v>
      </c>
      <c r="R14" s="37" t="s">
        <v>70</v>
      </c>
      <c r="S14" s="38"/>
      <c r="T14" s="37" t="s">
        <v>71</v>
      </c>
      <c r="U14" s="38"/>
      <c r="V14" s="37"/>
    </row>
    <row r="15">
      <c r="G15" s="21" t="s">
        <v>72</v>
      </c>
      <c r="H15" s="40">
        <v>1.0</v>
      </c>
      <c r="I15" s="30">
        <v>3.0</v>
      </c>
      <c r="J15" s="30">
        <v>2.0</v>
      </c>
      <c r="K15" s="41"/>
      <c r="L15" s="30">
        <v>3.0</v>
      </c>
      <c r="M15" s="30">
        <v>2.0</v>
      </c>
      <c r="N15" s="30">
        <v>2.0</v>
      </c>
      <c r="O15" s="41"/>
      <c r="P15" s="30">
        <v>2.0</v>
      </c>
      <c r="Q15" s="30">
        <v>3.0</v>
      </c>
      <c r="R15" s="30">
        <v>3.0</v>
      </c>
      <c r="S15" s="41"/>
      <c r="T15" s="30">
        <v>3.0</v>
      </c>
      <c r="U15" s="41"/>
      <c r="V15" s="30"/>
    </row>
    <row r="16">
      <c r="G16" s="21" t="s">
        <v>73</v>
      </c>
      <c r="H16" s="40" t="s">
        <v>246</v>
      </c>
      <c r="I16" s="30" t="s">
        <v>78</v>
      </c>
      <c r="J16" s="30" t="s">
        <v>247</v>
      </c>
      <c r="K16" s="41"/>
      <c r="L16" s="30" t="s">
        <v>47</v>
      </c>
      <c r="M16" s="30" t="s">
        <v>76</v>
      </c>
      <c r="N16" s="30" t="s">
        <v>248</v>
      </c>
      <c r="O16" s="41"/>
      <c r="P16" s="30" t="s">
        <v>249</v>
      </c>
      <c r="Q16" s="30" t="s">
        <v>79</v>
      </c>
      <c r="R16" s="30" t="s">
        <v>80</v>
      </c>
      <c r="S16" s="41"/>
      <c r="T16" s="30" t="s">
        <v>81</v>
      </c>
      <c r="U16" s="41"/>
      <c r="V16" s="30"/>
    </row>
    <row r="17">
      <c r="G17" s="21" t="s">
        <v>18</v>
      </c>
      <c r="H17" s="43">
        <v>7.0</v>
      </c>
      <c r="I17" s="44">
        <v>3.0</v>
      </c>
      <c r="J17" s="44">
        <v>2.0</v>
      </c>
      <c r="K17" s="41"/>
      <c r="L17" s="44">
        <v>1.0</v>
      </c>
      <c r="M17" s="44">
        <v>3.0</v>
      </c>
      <c r="N17" s="44">
        <v>3.0</v>
      </c>
      <c r="O17" s="41"/>
      <c r="P17" s="44">
        <v>2.0</v>
      </c>
      <c r="Q17" s="44">
        <v>3.0</v>
      </c>
      <c r="R17" s="44">
        <v>7.0</v>
      </c>
      <c r="S17" s="41"/>
      <c r="T17" s="44">
        <v>2.0</v>
      </c>
      <c r="U17" s="41"/>
      <c r="V17" s="44"/>
    </row>
    <row r="18">
      <c r="E18" s="21" t="s">
        <v>55</v>
      </c>
      <c r="F18" s="21" t="s">
        <v>15</v>
      </c>
      <c r="G18" s="21" t="s">
        <v>19</v>
      </c>
      <c r="H18" s="45" t="s">
        <v>31</v>
      </c>
      <c r="I18" s="46" t="s">
        <v>31</v>
      </c>
      <c r="J18" s="46" t="s">
        <v>31</v>
      </c>
      <c r="K18" s="41"/>
      <c r="L18" s="46" t="s">
        <v>39</v>
      </c>
      <c r="M18" s="46" t="s">
        <v>39</v>
      </c>
      <c r="N18" s="46" t="s">
        <v>39</v>
      </c>
      <c r="O18" s="41"/>
      <c r="P18" s="44" t="s">
        <v>42</v>
      </c>
      <c r="Q18" s="44" t="s">
        <v>42</v>
      </c>
      <c r="R18" s="44" t="s">
        <v>42</v>
      </c>
      <c r="S18" s="41"/>
      <c r="T18" s="46" t="s">
        <v>48</v>
      </c>
      <c r="U18" s="41"/>
      <c r="V18" s="46"/>
    </row>
    <row r="19">
      <c r="F19" s="68"/>
      <c r="L19" s="85"/>
      <c r="M19" s="85"/>
      <c r="N19" s="34"/>
    </row>
    <row r="20">
      <c r="F20" s="87" t="s">
        <v>250</v>
      </c>
      <c r="L20" s="85"/>
      <c r="M20" s="86" t="s">
        <v>251</v>
      </c>
      <c r="N20" s="85"/>
    </row>
    <row r="21">
      <c r="F21" s="87" t="s">
        <v>252</v>
      </c>
      <c r="L21" s="85"/>
      <c r="M21" s="88" t="s">
        <v>253</v>
      </c>
      <c r="N21" s="85"/>
      <c r="T21" s="19"/>
    </row>
    <row r="22">
      <c r="F22" s="87" t="s">
        <v>254</v>
      </c>
      <c r="L22" s="86" t="s">
        <v>255</v>
      </c>
      <c r="M22" s="90"/>
      <c r="N22" s="85"/>
    </row>
    <row r="23">
      <c r="F23" s="87" t="s">
        <v>256</v>
      </c>
      <c r="L23" s="89" t="s">
        <v>257</v>
      </c>
      <c r="M23" s="90"/>
      <c r="N23" s="85"/>
      <c r="T23" s="7" t="s">
        <v>258</v>
      </c>
    </row>
    <row r="24">
      <c r="F24" s="87" t="s">
        <v>259</v>
      </c>
      <c r="G24" s="21"/>
      <c r="M24" s="85"/>
      <c r="N24" s="133" t="s">
        <v>260</v>
      </c>
      <c r="T24" s="19"/>
    </row>
    <row r="25">
      <c r="F25" s="87" t="s">
        <v>261</v>
      </c>
      <c r="G25" s="21"/>
      <c r="N25" s="7" t="s">
        <v>262</v>
      </c>
    </row>
    <row r="26">
      <c r="G26" s="21"/>
    </row>
    <row r="27">
      <c r="G27" s="21"/>
    </row>
    <row r="28">
      <c r="G28" s="21"/>
    </row>
    <row r="29">
      <c r="G29" s="21"/>
    </row>
    <row r="30">
      <c r="G30" s="21"/>
    </row>
    <row r="31">
      <c r="G31" s="21"/>
    </row>
  </sheetData>
  <mergeCells count="4">
    <mergeCell ref="C1:I1"/>
    <mergeCell ref="C2:I2"/>
    <mergeCell ref="C3:I3"/>
    <mergeCell ref="C4:I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1" width="4.63"/>
    <col customWidth="1" min="2" max="2" width="4.38"/>
    <col customWidth="1" min="3" max="3" width="13.38"/>
    <col customWidth="1" hidden="1" min="4" max="4" width="10.13"/>
    <col customWidth="1" min="5" max="5" width="12.63"/>
    <col customWidth="1" min="6" max="6" width="31.75"/>
    <col customWidth="1" min="7" max="7" width="8.75"/>
    <col customWidth="1" min="8" max="8" width="21.25"/>
    <col customWidth="1" min="9" max="9" width="29.0"/>
    <col customWidth="1" min="10" max="10" width="22.25"/>
    <col customWidth="1" min="11" max="11" width="7.75"/>
    <col customWidth="1" min="12" max="12" width="15.75"/>
    <col customWidth="1" min="13" max="13" width="10.0"/>
    <col customWidth="1" min="14" max="14" width="7.5"/>
    <col customWidth="1" min="15" max="15" width="7.25"/>
    <col customWidth="1" min="16" max="16" width="20.88"/>
    <col customWidth="1" min="19" max="19" width="11.25"/>
    <col customWidth="1" min="23" max="23" width="11.0"/>
  </cols>
  <sheetData>
    <row r="1">
      <c r="C1" s="1" t="s">
        <v>0</v>
      </c>
    </row>
    <row r="2">
      <c r="C2" s="2" t="s">
        <v>1</v>
      </c>
    </row>
    <row r="3">
      <c r="C3" s="1" t="s">
        <v>2</v>
      </c>
    </row>
    <row r="4">
      <c r="C4" s="3" t="s">
        <v>3</v>
      </c>
    </row>
    <row r="5">
      <c r="C5" s="4" t="s">
        <v>4</v>
      </c>
      <c r="D5" s="5"/>
      <c r="E5" s="6"/>
      <c r="F5" s="6"/>
      <c r="G5" s="6"/>
      <c r="H5" s="6"/>
      <c r="I5" s="6"/>
    </row>
    <row r="6">
      <c r="C6" s="4" t="s">
        <v>5</v>
      </c>
      <c r="D6" s="5"/>
      <c r="E6" s="6"/>
      <c r="F6" s="6"/>
      <c r="G6" s="6"/>
      <c r="H6" s="6"/>
      <c r="I6" s="6"/>
      <c r="O6" s="26"/>
      <c r="P6" s="26"/>
      <c r="Q6" s="26"/>
      <c r="R6" s="57"/>
      <c r="S6" s="7" t="s">
        <v>6</v>
      </c>
      <c r="T6" s="26"/>
      <c r="U6" s="26"/>
      <c r="V6" s="26"/>
    </row>
    <row r="7">
      <c r="A7" s="8"/>
      <c r="B7" s="8"/>
      <c r="C7" s="9"/>
      <c r="D7" s="10"/>
      <c r="E7" s="9"/>
      <c r="F7" s="9"/>
      <c r="G7" s="9"/>
      <c r="H7" s="9"/>
      <c r="I7" s="9"/>
      <c r="J7" s="8"/>
      <c r="K7" s="8"/>
      <c r="L7" s="8"/>
      <c r="M7" s="8"/>
      <c r="N7" s="8"/>
      <c r="O7" s="26"/>
      <c r="P7" s="57"/>
      <c r="Q7" s="121" t="s">
        <v>7</v>
      </c>
      <c r="R7" s="122" t="s">
        <v>8</v>
      </c>
      <c r="S7" s="123" t="s">
        <v>9</v>
      </c>
      <c r="T7" s="124" t="s">
        <v>10</v>
      </c>
      <c r="U7" s="125" t="s">
        <v>11</v>
      </c>
      <c r="V7" s="125" t="s">
        <v>12</v>
      </c>
      <c r="W7" s="8"/>
      <c r="X7" s="8"/>
      <c r="Y7" s="8"/>
      <c r="Z7" s="8"/>
      <c r="AA7" s="8"/>
    </row>
    <row r="8">
      <c r="C8" s="15" t="s">
        <v>13</v>
      </c>
      <c r="D8" s="16"/>
      <c r="E8" s="17"/>
      <c r="F8" s="17"/>
      <c r="G8" s="17"/>
      <c r="H8" s="17"/>
      <c r="I8" s="17"/>
      <c r="J8" s="18"/>
      <c r="O8" s="131"/>
      <c r="P8" s="132"/>
      <c r="Q8" s="126">
        <v>5.0</v>
      </c>
      <c r="R8" s="127">
        <v>4.0</v>
      </c>
      <c r="S8" s="128">
        <v>3.0</v>
      </c>
      <c r="T8" s="129">
        <v>2.0</v>
      </c>
      <c r="U8" s="130">
        <v>1.0</v>
      </c>
      <c r="V8" s="130">
        <v>0.0</v>
      </c>
    </row>
    <row r="9">
      <c r="C9" s="19"/>
      <c r="E9" s="19"/>
      <c r="F9" s="19"/>
      <c r="G9" s="19"/>
      <c r="H9" s="19"/>
      <c r="I9" s="19"/>
      <c r="T9" s="19" t="s">
        <v>14</v>
      </c>
    </row>
    <row r="10">
      <c r="C10" s="19"/>
      <c r="E10" s="19"/>
      <c r="F10" s="19"/>
      <c r="G10" s="19"/>
      <c r="H10" s="19"/>
      <c r="I10" s="19"/>
    </row>
    <row r="11">
      <c r="G11" s="21" t="s">
        <v>55</v>
      </c>
      <c r="H11" s="21" t="s">
        <v>56</v>
      </c>
      <c r="I11" s="20"/>
      <c r="J11" s="20"/>
      <c r="K11" s="20"/>
      <c r="L11" s="21" t="s">
        <v>57</v>
      </c>
      <c r="M11" s="20"/>
      <c r="N11" s="20"/>
      <c r="O11" s="20"/>
      <c r="P11" s="21" t="s">
        <v>58</v>
      </c>
      <c r="Q11" s="20"/>
      <c r="R11" s="20"/>
      <c r="S11" s="20"/>
      <c r="T11" s="21" t="s">
        <v>59</v>
      </c>
      <c r="U11" s="20"/>
      <c r="V11" s="21"/>
      <c r="X11" s="21" t="s">
        <v>60</v>
      </c>
    </row>
    <row r="12">
      <c r="G12" s="20"/>
      <c r="H12" s="22">
        <v>1.0</v>
      </c>
      <c r="I12" s="24">
        <v>2.0</v>
      </c>
      <c r="J12" s="24">
        <v>3.0</v>
      </c>
      <c r="K12" s="26"/>
      <c r="L12" s="24">
        <v>1.0</v>
      </c>
      <c r="M12" s="24">
        <v>2.0</v>
      </c>
      <c r="N12" s="29">
        <v>3.0</v>
      </c>
      <c r="O12" s="26"/>
      <c r="P12" s="24">
        <v>1.0</v>
      </c>
      <c r="Q12" s="24">
        <v>2.0</v>
      </c>
      <c r="R12" s="30">
        <v>3.0</v>
      </c>
      <c r="S12" s="26"/>
      <c r="T12" s="24">
        <v>1.0</v>
      </c>
      <c r="U12" s="26"/>
      <c r="V12" s="24"/>
    </row>
    <row r="13">
      <c r="G13" s="21"/>
      <c r="H13" s="31" t="s">
        <v>61</v>
      </c>
      <c r="I13" s="25"/>
      <c r="J13" s="25"/>
      <c r="K13" s="26"/>
      <c r="L13" s="32" t="s">
        <v>36</v>
      </c>
      <c r="M13" s="25"/>
      <c r="N13" s="25"/>
      <c r="O13" s="26"/>
      <c r="P13" s="32" t="s">
        <v>42</v>
      </c>
      <c r="Q13" s="28"/>
      <c r="R13" s="33"/>
      <c r="S13" s="26"/>
      <c r="T13" s="32" t="s">
        <v>48</v>
      </c>
      <c r="U13" s="26"/>
      <c r="V13" s="32"/>
    </row>
    <row r="14">
      <c r="G14" s="21" t="s">
        <v>16</v>
      </c>
      <c r="H14" s="36" t="s">
        <v>240</v>
      </c>
      <c r="I14" s="37" t="s">
        <v>68</v>
      </c>
      <c r="J14" s="37" t="s">
        <v>241</v>
      </c>
      <c r="K14" s="38"/>
      <c r="L14" s="37" t="s">
        <v>242</v>
      </c>
      <c r="M14" s="37" t="s">
        <v>66</v>
      </c>
      <c r="N14" s="37" t="s">
        <v>243</v>
      </c>
      <c r="O14" s="38"/>
      <c r="P14" s="37" t="s">
        <v>244</v>
      </c>
      <c r="Q14" s="37" t="s">
        <v>245</v>
      </c>
      <c r="R14" s="37" t="s">
        <v>70</v>
      </c>
      <c r="S14" s="38"/>
      <c r="T14" s="37" t="s">
        <v>71</v>
      </c>
      <c r="U14" s="38"/>
      <c r="V14" s="37"/>
    </row>
    <row r="15">
      <c r="G15" s="21" t="s">
        <v>72</v>
      </c>
      <c r="H15" s="40">
        <v>1.0</v>
      </c>
      <c r="I15" s="30">
        <v>3.0</v>
      </c>
      <c r="J15" s="30">
        <v>2.0</v>
      </c>
      <c r="K15" s="41"/>
      <c r="L15" s="30">
        <v>3.0</v>
      </c>
      <c r="M15" s="30">
        <v>2.0</v>
      </c>
      <c r="N15" s="30">
        <v>2.0</v>
      </c>
      <c r="O15" s="41"/>
      <c r="P15" s="30">
        <v>2.0</v>
      </c>
      <c r="Q15" s="30">
        <v>3.0</v>
      </c>
      <c r="R15" s="30">
        <v>3.0</v>
      </c>
      <c r="S15" s="41"/>
      <c r="T15" s="30">
        <v>3.0</v>
      </c>
      <c r="U15" s="41"/>
      <c r="V15" s="30"/>
    </row>
    <row r="16">
      <c r="G16" s="21" t="s">
        <v>73</v>
      </c>
      <c r="H16" s="40" t="s">
        <v>246</v>
      </c>
      <c r="I16" s="30" t="s">
        <v>78</v>
      </c>
      <c r="J16" s="30" t="s">
        <v>247</v>
      </c>
      <c r="K16" s="41"/>
      <c r="L16" s="30" t="s">
        <v>47</v>
      </c>
      <c r="M16" s="30" t="s">
        <v>76</v>
      </c>
      <c r="N16" s="30" t="s">
        <v>248</v>
      </c>
      <c r="O16" s="41"/>
      <c r="P16" s="30" t="s">
        <v>249</v>
      </c>
      <c r="Q16" s="30" t="s">
        <v>79</v>
      </c>
      <c r="R16" s="30" t="s">
        <v>80</v>
      </c>
      <c r="S16" s="41"/>
      <c r="T16" s="30" t="s">
        <v>81</v>
      </c>
      <c r="U16" s="41"/>
      <c r="V16" s="30"/>
    </row>
    <row r="17">
      <c r="G17" s="21" t="s">
        <v>18</v>
      </c>
      <c r="H17" s="43">
        <v>7.0</v>
      </c>
      <c r="I17" s="44">
        <v>3.0</v>
      </c>
      <c r="J17" s="44">
        <v>2.0</v>
      </c>
      <c r="K17" s="41"/>
      <c r="L17" s="44">
        <v>1.0</v>
      </c>
      <c r="M17" s="44">
        <v>3.0</v>
      </c>
      <c r="N17" s="44">
        <v>3.0</v>
      </c>
      <c r="O17" s="41"/>
      <c r="P17" s="44">
        <v>2.0</v>
      </c>
      <c r="Q17" s="44">
        <v>3.0</v>
      </c>
      <c r="R17" s="44">
        <v>7.0</v>
      </c>
      <c r="S17" s="41"/>
      <c r="T17" s="44">
        <v>2.0</v>
      </c>
      <c r="U17" s="41"/>
      <c r="V17" s="44"/>
    </row>
    <row r="18">
      <c r="E18" s="21" t="s">
        <v>55</v>
      </c>
      <c r="F18" s="21" t="s">
        <v>15</v>
      </c>
      <c r="G18" s="21" t="s">
        <v>19</v>
      </c>
      <c r="H18" s="45" t="s">
        <v>31</v>
      </c>
      <c r="I18" s="46" t="s">
        <v>31</v>
      </c>
      <c r="J18" s="46" t="s">
        <v>31</v>
      </c>
      <c r="K18" s="41"/>
      <c r="L18" s="46" t="s">
        <v>39</v>
      </c>
      <c r="M18" s="46" t="s">
        <v>39</v>
      </c>
      <c r="N18" s="46" t="s">
        <v>39</v>
      </c>
      <c r="O18" s="41"/>
      <c r="P18" s="44" t="s">
        <v>42</v>
      </c>
      <c r="Q18" s="44" t="s">
        <v>42</v>
      </c>
      <c r="R18" s="44" t="s">
        <v>42</v>
      </c>
      <c r="S18" s="41"/>
      <c r="T18" s="46" t="s">
        <v>48</v>
      </c>
      <c r="U18" s="41"/>
      <c r="V18" s="46"/>
    </row>
    <row r="19">
      <c r="E19" s="21"/>
      <c r="H19" s="19"/>
      <c r="I19" s="19"/>
      <c r="J19" s="19"/>
    </row>
    <row r="20">
      <c r="E20" s="21" t="s">
        <v>145</v>
      </c>
      <c r="F20" s="96" t="s">
        <v>171</v>
      </c>
      <c r="H20" s="7">
        <v>3.0</v>
      </c>
      <c r="I20" s="7">
        <v>3.0</v>
      </c>
      <c r="J20" s="7">
        <v>3.0</v>
      </c>
    </row>
    <row r="21">
      <c r="E21" s="21" t="s">
        <v>145</v>
      </c>
      <c r="F21" s="83" t="s">
        <v>263</v>
      </c>
      <c r="G21" s="21"/>
      <c r="H21" s="13" t="s">
        <v>264</v>
      </c>
      <c r="J21" s="7" t="s">
        <v>265</v>
      </c>
      <c r="T21" s="7" t="s">
        <v>266</v>
      </c>
    </row>
    <row r="22">
      <c r="E22" s="21" t="s">
        <v>175</v>
      </c>
      <c r="F22" s="83" t="s">
        <v>267</v>
      </c>
      <c r="G22" s="21"/>
      <c r="H22" s="7" t="s">
        <v>268</v>
      </c>
      <c r="I22" s="12" t="s">
        <v>269</v>
      </c>
      <c r="P22" s="19"/>
      <c r="T22" s="7" t="s">
        <v>266</v>
      </c>
    </row>
    <row r="23">
      <c r="E23" s="21" t="s">
        <v>145</v>
      </c>
      <c r="F23" s="83" t="s">
        <v>270</v>
      </c>
      <c r="G23" s="21"/>
      <c r="H23" s="7" t="s">
        <v>268</v>
      </c>
      <c r="J23" s="13" t="s">
        <v>271</v>
      </c>
      <c r="T23" s="7" t="s">
        <v>126</v>
      </c>
    </row>
    <row r="24">
      <c r="A24" s="103"/>
      <c r="B24" s="103"/>
      <c r="C24" s="103"/>
      <c r="D24" s="103"/>
      <c r="E24" s="21" t="s">
        <v>175</v>
      </c>
      <c r="F24" s="83" t="s">
        <v>272</v>
      </c>
      <c r="G24" s="21"/>
      <c r="H24" s="12" t="s">
        <v>273</v>
      </c>
      <c r="I24" s="19"/>
      <c r="T24" s="19"/>
      <c r="W24" s="103"/>
      <c r="X24" s="103"/>
      <c r="Y24" s="103"/>
      <c r="Z24" s="103"/>
      <c r="AA24" s="103"/>
    </row>
    <row r="25">
      <c r="E25" s="21" t="s">
        <v>145</v>
      </c>
      <c r="F25" s="83" t="s">
        <v>274</v>
      </c>
      <c r="G25" s="21"/>
      <c r="H25" s="7" t="s">
        <v>268</v>
      </c>
      <c r="J25" s="19" t="s">
        <v>275</v>
      </c>
      <c r="T25" s="19" t="s">
        <v>276</v>
      </c>
    </row>
    <row r="26">
      <c r="E26" s="21" t="s">
        <v>175</v>
      </c>
      <c r="F26" s="96" t="s">
        <v>277</v>
      </c>
      <c r="G26" s="21"/>
      <c r="I26" s="13" t="s">
        <v>278</v>
      </c>
      <c r="J26" s="134"/>
    </row>
    <row r="27">
      <c r="E27" s="21" t="s">
        <v>175</v>
      </c>
      <c r="F27" s="96" t="s">
        <v>279</v>
      </c>
      <c r="G27" s="21"/>
      <c r="I27" s="7" t="s">
        <v>280</v>
      </c>
      <c r="J27" s="19"/>
      <c r="T27" s="19"/>
    </row>
    <row r="28">
      <c r="E28" s="21"/>
      <c r="F28" s="135"/>
      <c r="G28" s="21"/>
    </row>
    <row r="32" ht="102.75" customHeight="1"/>
    <row r="35">
      <c r="F35" s="136"/>
    </row>
    <row r="36">
      <c r="F36" s="136"/>
    </row>
    <row r="37">
      <c r="F37" s="136"/>
    </row>
  </sheetData>
  <mergeCells count="4">
    <mergeCell ref="C1:I1"/>
    <mergeCell ref="C2:I2"/>
    <mergeCell ref="C3:I3"/>
    <mergeCell ref="C4:I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2.0" topLeftCell="A33" activePane="bottomLeft" state="frozen"/>
      <selection activeCell="B34" sqref="B34" pane="bottomLeft"/>
    </sheetView>
  </sheetViews>
  <sheetFormatPr customHeight="1" defaultColWidth="12.63" defaultRowHeight="15.75"/>
  <cols>
    <col customWidth="1" min="1" max="2" width="4.38"/>
    <col customWidth="1" min="3" max="3" width="13.38"/>
    <col customWidth="1" hidden="1" min="4" max="4" width="10.13"/>
    <col customWidth="1" min="5" max="5" width="13.0"/>
    <col customWidth="1" min="6" max="6" width="35.25"/>
    <col customWidth="1" min="7" max="7" width="11.0"/>
    <col customWidth="1" min="8" max="8" width="15.25"/>
    <col customWidth="1" min="9" max="9" width="18.38"/>
    <col customWidth="1" min="10" max="10" width="9.5"/>
    <col customWidth="1" min="11" max="11" width="3.63"/>
    <col customWidth="1" min="12" max="13" width="16.38"/>
    <col customWidth="1" min="14" max="14" width="21.13"/>
    <col customWidth="1" min="15" max="15" width="3.5"/>
    <col customWidth="1" min="16" max="16" width="13.0"/>
    <col customWidth="1" min="17" max="17" width="11.5"/>
    <col customWidth="1" min="18" max="18" width="10.38"/>
    <col customWidth="1" min="19" max="19" width="4.38"/>
    <col customWidth="1" min="20" max="20" width="13.38"/>
    <col customWidth="1" min="21" max="21" width="4.5"/>
    <col customWidth="1" min="22" max="22" width="11.63"/>
    <col customWidth="1" min="23" max="23" width="6.88"/>
    <col customWidth="1" min="24" max="24" width="8.0"/>
    <col customWidth="1" min="25" max="25" width="7.38"/>
    <col customWidth="1" min="26" max="26" width="4.75"/>
  </cols>
  <sheetData>
    <row r="1">
      <c r="C1" s="1" t="s">
        <v>0</v>
      </c>
    </row>
    <row r="2">
      <c r="C2" s="2" t="s">
        <v>1</v>
      </c>
    </row>
    <row r="3">
      <c r="C3" s="1" t="s">
        <v>2</v>
      </c>
    </row>
    <row r="4">
      <c r="C4" s="3" t="s">
        <v>3</v>
      </c>
    </row>
    <row r="5">
      <c r="C5" s="4" t="s">
        <v>4</v>
      </c>
      <c r="D5" s="5"/>
      <c r="E5" s="6"/>
      <c r="F5" s="6"/>
      <c r="G5" s="6"/>
      <c r="H5" s="6"/>
      <c r="I5" s="6"/>
    </row>
    <row r="6">
      <c r="C6" s="4" t="s">
        <v>5</v>
      </c>
      <c r="D6" s="5"/>
      <c r="E6" s="6"/>
      <c r="F6" s="6"/>
      <c r="G6" s="6"/>
      <c r="H6" s="6"/>
      <c r="I6" s="6"/>
      <c r="S6" s="7" t="s">
        <v>6</v>
      </c>
    </row>
    <row r="7">
      <c r="A7" s="8"/>
      <c r="B7" s="8"/>
      <c r="C7" s="9"/>
      <c r="D7" s="10"/>
      <c r="E7" s="9"/>
      <c r="F7" s="9"/>
      <c r="G7" s="9"/>
      <c r="H7" s="9"/>
      <c r="I7" s="9"/>
      <c r="J7" s="8"/>
      <c r="K7" s="8"/>
      <c r="L7" s="8"/>
      <c r="M7" s="8"/>
      <c r="N7" s="8"/>
      <c r="O7" s="8"/>
      <c r="P7" s="8"/>
      <c r="Q7" s="11" t="s">
        <v>7</v>
      </c>
      <c r="R7" s="12" t="s">
        <v>8</v>
      </c>
      <c r="S7" s="7" t="s">
        <v>9</v>
      </c>
      <c r="T7" s="13" t="s">
        <v>10</v>
      </c>
      <c r="U7" s="14" t="s">
        <v>11</v>
      </c>
      <c r="V7" s="14" t="s">
        <v>12</v>
      </c>
      <c r="X7" s="8"/>
      <c r="Y7" s="8"/>
      <c r="Z7" s="8"/>
      <c r="AA7" s="8"/>
      <c r="AB7" s="8"/>
      <c r="AC7" s="8"/>
      <c r="AD7" s="8"/>
      <c r="AE7" s="8"/>
      <c r="AF7" s="8"/>
    </row>
    <row r="8">
      <c r="C8" s="15" t="s">
        <v>13</v>
      </c>
      <c r="D8" s="16"/>
      <c r="E8" s="17"/>
      <c r="F8" s="17"/>
      <c r="G8" s="17"/>
      <c r="H8" s="17"/>
      <c r="I8" s="17"/>
      <c r="J8" s="18"/>
      <c r="Q8" s="11">
        <v>5.0</v>
      </c>
      <c r="R8" s="12">
        <v>4.0</v>
      </c>
      <c r="S8" s="7">
        <v>3.0</v>
      </c>
      <c r="T8" s="13">
        <v>2.0</v>
      </c>
      <c r="U8" s="14">
        <v>1.0</v>
      </c>
      <c r="V8" s="14">
        <v>0.0</v>
      </c>
    </row>
    <row r="9">
      <c r="C9" s="19"/>
      <c r="E9" s="19"/>
      <c r="F9" s="19"/>
      <c r="G9" s="19"/>
      <c r="H9" s="19"/>
      <c r="I9" s="19"/>
      <c r="T9" s="19" t="s">
        <v>14</v>
      </c>
    </row>
    <row r="10">
      <c r="C10" s="19"/>
      <c r="E10" s="19"/>
      <c r="F10" s="19"/>
      <c r="G10" s="19"/>
      <c r="H10" s="19"/>
      <c r="I10" s="19"/>
    </row>
    <row r="11" hidden="1">
      <c r="A11" s="20"/>
      <c r="B11" s="20"/>
      <c r="C11" s="21"/>
      <c r="D11" s="20"/>
      <c r="E11" s="21"/>
      <c r="F11" s="21"/>
      <c r="G11" s="21"/>
      <c r="H11" s="21"/>
      <c r="I11" s="21" t="s">
        <v>15</v>
      </c>
      <c r="J11" s="20"/>
      <c r="K11" s="20"/>
      <c r="L11" s="20"/>
      <c r="M11" s="20"/>
      <c r="N11" s="20"/>
      <c r="O11" s="20"/>
      <c r="P11" s="20"/>
      <c r="Q11" s="20"/>
      <c r="R11" s="20"/>
      <c r="S11" s="20"/>
      <c r="T11" s="20"/>
      <c r="U11" s="20"/>
      <c r="V11" s="20"/>
      <c r="W11" s="20"/>
      <c r="X11" s="20"/>
      <c r="Y11" s="20"/>
      <c r="Z11" s="20"/>
      <c r="AA11" s="20"/>
      <c r="AB11" s="20"/>
      <c r="AC11" s="20"/>
      <c r="AD11" s="20"/>
      <c r="AE11" s="20"/>
      <c r="AF11" s="20"/>
    </row>
    <row r="12" ht="26.25" hidden="1" customHeight="1">
      <c r="A12" s="20"/>
      <c r="B12" s="20"/>
      <c r="C12" s="21" t="s">
        <v>16</v>
      </c>
      <c r="D12" s="20"/>
      <c r="E12" s="21"/>
      <c r="F12" s="21" t="s">
        <v>17</v>
      </c>
      <c r="G12" s="21" t="s">
        <v>18</v>
      </c>
      <c r="H12" s="21" t="s">
        <v>19</v>
      </c>
      <c r="I12" s="21" t="s">
        <v>20</v>
      </c>
      <c r="J12" s="21" t="s">
        <v>21</v>
      </c>
      <c r="K12" s="21" t="s">
        <v>22</v>
      </c>
      <c r="L12" s="21" t="s">
        <v>23</v>
      </c>
      <c r="M12" s="21" t="s">
        <v>24</v>
      </c>
      <c r="N12" s="21"/>
      <c r="O12" s="21" t="s">
        <v>25</v>
      </c>
      <c r="P12" s="21" t="s">
        <v>25</v>
      </c>
      <c r="Q12" s="21" t="s">
        <v>26</v>
      </c>
      <c r="R12" s="21"/>
      <c r="S12" s="21" t="s">
        <v>27</v>
      </c>
      <c r="T12" s="21" t="s">
        <v>28</v>
      </c>
      <c r="U12" s="20"/>
      <c r="V12" s="20"/>
      <c r="W12" s="20"/>
      <c r="X12" s="20"/>
      <c r="Y12" s="20"/>
      <c r="Z12" s="20"/>
      <c r="AA12" s="20"/>
      <c r="AB12" s="20"/>
      <c r="AC12" s="20"/>
      <c r="AD12" s="20"/>
      <c r="AE12" s="20"/>
      <c r="AF12" s="20"/>
    </row>
    <row r="13" hidden="1">
      <c r="B13" s="22">
        <v>1.0</v>
      </c>
      <c r="C13" s="23" t="s">
        <v>29</v>
      </c>
      <c r="D13" s="22">
        <v>5.6676719E7</v>
      </c>
      <c r="E13" s="22"/>
      <c r="F13" s="22">
        <v>3.0</v>
      </c>
      <c r="G13" s="23" t="s">
        <v>30</v>
      </c>
      <c r="H13" s="23" t="s">
        <v>31</v>
      </c>
      <c r="I13" s="19">
        <v>3.0</v>
      </c>
    </row>
    <row r="14" hidden="1">
      <c r="B14" s="24">
        <v>2.0</v>
      </c>
      <c r="C14" s="25" t="s">
        <v>32</v>
      </c>
      <c r="D14" s="24">
        <v>5.7196598E7</v>
      </c>
      <c r="E14" s="24"/>
      <c r="F14" s="24">
        <v>8.0</v>
      </c>
      <c r="G14" s="25" t="s">
        <v>33</v>
      </c>
      <c r="H14" s="25" t="s">
        <v>31</v>
      </c>
      <c r="I14" s="19">
        <v>3.0</v>
      </c>
    </row>
    <row r="15" hidden="1">
      <c r="B15" s="24">
        <v>3.0</v>
      </c>
      <c r="C15" s="25" t="s">
        <v>34</v>
      </c>
      <c r="D15" s="24">
        <v>5.7848199E7</v>
      </c>
      <c r="E15" s="24"/>
      <c r="F15" s="24">
        <v>6.0</v>
      </c>
      <c r="G15" s="25" t="s">
        <v>35</v>
      </c>
      <c r="H15" s="25" t="s">
        <v>31</v>
      </c>
      <c r="I15" s="19">
        <v>3.0</v>
      </c>
    </row>
    <row r="16" hidden="1">
      <c r="B16" s="26"/>
      <c r="C16" s="26"/>
      <c r="D16" s="26"/>
      <c r="E16" s="26"/>
      <c r="F16" s="26"/>
      <c r="G16" s="26"/>
      <c r="H16" s="26"/>
    </row>
    <row r="17" hidden="1">
      <c r="B17" s="26"/>
      <c r="C17" s="27" t="s">
        <v>36</v>
      </c>
      <c r="D17" s="26"/>
      <c r="E17" s="26"/>
      <c r="F17" s="26"/>
      <c r="G17" s="26"/>
      <c r="H17" s="26"/>
    </row>
    <row r="18" hidden="1">
      <c r="B18" s="24">
        <v>1.0</v>
      </c>
      <c r="C18" s="25" t="s">
        <v>37</v>
      </c>
      <c r="D18" s="24">
        <v>5.784216E7</v>
      </c>
      <c r="E18" s="24"/>
      <c r="F18" s="24">
        <v>10.0</v>
      </c>
      <c r="G18" s="25" t="s">
        <v>38</v>
      </c>
      <c r="H18" s="25" t="s">
        <v>39</v>
      </c>
      <c r="I18" s="19">
        <v>3.0</v>
      </c>
    </row>
    <row r="19" hidden="1">
      <c r="B19" s="24">
        <v>2.0</v>
      </c>
      <c r="C19" s="25" t="s">
        <v>40</v>
      </c>
      <c r="D19" s="24">
        <v>5.782755E7</v>
      </c>
      <c r="E19" s="24"/>
      <c r="F19" s="24">
        <v>7.0</v>
      </c>
      <c r="G19" s="25" t="s">
        <v>41</v>
      </c>
      <c r="H19" s="25" t="s">
        <v>39</v>
      </c>
      <c r="I19" s="19">
        <v>3.0</v>
      </c>
    </row>
    <row r="20" hidden="1">
      <c r="B20" s="26"/>
      <c r="C20" s="26"/>
      <c r="D20" s="26"/>
      <c r="E20" s="26"/>
      <c r="F20" s="26"/>
      <c r="G20" s="26"/>
      <c r="H20" s="26"/>
    </row>
    <row r="21" hidden="1">
      <c r="B21" s="26"/>
      <c r="C21" s="27" t="s">
        <v>42</v>
      </c>
      <c r="D21" s="26"/>
      <c r="E21" s="26"/>
      <c r="F21" s="26"/>
      <c r="G21" s="26"/>
      <c r="H21" s="26"/>
    </row>
    <row r="22" hidden="1">
      <c r="B22" s="24">
        <v>1.0</v>
      </c>
      <c r="C22" s="28" t="s">
        <v>43</v>
      </c>
      <c r="D22" s="24">
        <v>5.7254164E7</v>
      </c>
      <c r="E22" s="24"/>
      <c r="F22" s="24">
        <v>8.0</v>
      </c>
      <c r="G22" s="25" t="s">
        <v>44</v>
      </c>
      <c r="H22" s="25" t="s">
        <v>45</v>
      </c>
      <c r="I22" s="19">
        <v>3.0</v>
      </c>
    </row>
    <row r="23" hidden="1">
      <c r="B23" s="24">
        <v>2.0</v>
      </c>
      <c r="C23" s="28" t="s">
        <v>46</v>
      </c>
      <c r="D23" s="24">
        <v>5.7213538E7</v>
      </c>
      <c r="E23" s="24"/>
      <c r="F23" s="24">
        <v>1.0</v>
      </c>
      <c r="G23" s="25" t="s">
        <v>47</v>
      </c>
      <c r="H23" s="25" t="s">
        <v>45</v>
      </c>
      <c r="I23" s="19">
        <v>4.0</v>
      </c>
    </row>
    <row r="24" hidden="1">
      <c r="B24" s="26"/>
      <c r="C24" s="26"/>
      <c r="D24" s="26"/>
      <c r="E24" s="26"/>
      <c r="F24" s="26"/>
      <c r="G24" s="26"/>
      <c r="H24" s="26"/>
    </row>
    <row r="25" hidden="1">
      <c r="B25" s="26"/>
      <c r="C25" s="27" t="s">
        <v>48</v>
      </c>
      <c r="D25" s="26"/>
      <c r="E25" s="26"/>
      <c r="F25" s="26"/>
      <c r="G25" s="26"/>
      <c r="H25" s="26"/>
    </row>
    <row r="26" hidden="1">
      <c r="B26" s="24">
        <v>1.0</v>
      </c>
      <c r="C26" s="25" t="s">
        <v>49</v>
      </c>
      <c r="D26" s="24">
        <v>5.7856102E7</v>
      </c>
      <c r="E26" s="24"/>
      <c r="F26" s="24">
        <v>2.0</v>
      </c>
      <c r="G26" s="25" t="s">
        <v>50</v>
      </c>
      <c r="H26" s="25" t="s">
        <v>48</v>
      </c>
      <c r="I26" s="19">
        <v>3.0</v>
      </c>
    </row>
    <row r="27" hidden="1">
      <c r="B27" s="26"/>
      <c r="C27" s="26"/>
      <c r="D27" s="26"/>
      <c r="E27" s="26"/>
      <c r="F27" s="26"/>
      <c r="G27" s="26"/>
      <c r="H27" s="26"/>
    </row>
    <row r="28" hidden="1">
      <c r="B28" s="26"/>
      <c r="C28" s="27" t="s">
        <v>51</v>
      </c>
      <c r="D28" s="26"/>
      <c r="E28" s="26"/>
      <c r="F28" s="26"/>
      <c r="G28" s="26"/>
      <c r="H28" s="26"/>
    </row>
    <row r="29" hidden="1">
      <c r="B29" s="24">
        <v>1.0</v>
      </c>
      <c r="C29" s="25" t="s">
        <v>52</v>
      </c>
      <c r="D29" s="24">
        <v>5.7853924E7</v>
      </c>
      <c r="E29" s="24"/>
      <c r="F29" s="24">
        <v>5.0</v>
      </c>
      <c r="G29" s="25" t="s">
        <v>53</v>
      </c>
      <c r="H29" s="25" t="s">
        <v>54</v>
      </c>
      <c r="I29" s="19">
        <v>3.0</v>
      </c>
    </row>
    <row r="30">
      <c r="G30" s="21" t="s">
        <v>55</v>
      </c>
      <c r="H30" s="21" t="s">
        <v>56</v>
      </c>
      <c r="I30" s="20"/>
      <c r="J30" s="20"/>
      <c r="K30" s="20"/>
      <c r="L30" s="21" t="s">
        <v>57</v>
      </c>
      <c r="M30" s="20"/>
      <c r="N30" s="20"/>
      <c r="O30" s="20"/>
      <c r="P30" s="21" t="s">
        <v>58</v>
      </c>
      <c r="Q30" s="20"/>
      <c r="R30" s="20"/>
      <c r="S30" s="20"/>
      <c r="T30" s="21" t="s">
        <v>59</v>
      </c>
      <c r="U30" s="20"/>
      <c r="V30" s="21"/>
      <c r="X30" s="21" t="s">
        <v>60</v>
      </c>
    </row>
    <row r="31">
      <c r="E31" s="20"/>
      <c r="F31" s="20"/>
      <c r="G31" s="20"/>
      <c r="H31" s="22">
        <v>1.0</v>
      </c>
      <c r="I31" s="24">
        <v>2.0</v>
      </c>
      <c r="J31" s="24">
        <v>3.0</v>
      </c>
      <c r="K31" s="26"/>
      <c r="L31" s="24">
        <v>1.0</v>
      </c>
      <c r="M31" s="24">
        <v>2.0</v>
      </c>
      <c r="N31" s="29">
        <v>3.0</v>
      </c>
      <c r="O31" s="26"/>
      <c r="P31" s="24">
        <v>1.0</v>
      </c>
      <c r="Q31" s="24">
        <v>2.0</v>
      </c>
      <c r="R31" s="30">
        <v>3.0</v>
      </c>
      <c r="S31" s="26"/>
      <c r="T31" s="24">
        <v>1.0</v>
      </c>
      <c r="U31" s="26"/>
      <c r="V31" s="24"/>
    </row>
    <row r="32" ht="14.25" customHeight="1">
      <c r="E32" s="21"/>
      <c r="F32" s="21"/>
      <c r="G32" s="21"/>
      <c r="H32" s="31" t="s">
        <v>61</v>
      </c>
      <c r="I32" s="25"/>
      <c r="J32" s="25"/>
      <c r="K32" s="26"/>
      <c r="L32" s="32" t="s">
        <v>36</v>
      </c>
      <c r="M32" s="25"/>
      <c r="N32" s="25"/>
      <c r="O32" s="26"/>
      <c r="P32" s="32" t="s">
        <v>42</v>
      </c>
      <c r="Q32" s="28"/>
      <c r="R32" s="33"/>
      <c r="S32" s="26"/>
      <c r="T32" s="32" t="s">
        <v>48</v>
      </c>
      <c r="U32" s="26"/>
      <c r="V32" s="32"/>
    </row>
    <row r="33">
      <c r="A33" s="34"/>
      <c r="B33" s="34"/>
      <c r="C33" s="34"/>
      <c r="D33" s="34"/>
      <c r="E33" s="35"/>
      <c r="F33" s="35"/>
      <c r="G33" s="35" t="s">
        <v>16</v>
      </c>
      <c r="H33" s="36" t="s">
        <v>240</v>
      </c>
      <c r="I33" s="37" t="s">
        <v>68</v>
      </c>
      <c r="J33" s="37" t="s">
        <v>241</v>
      </c>
      <c r="K33" s="38"/>
      <c r="L33" s="37" t="s">
        <v>242</v>
      </c>
      <c r="M33" s="37" t="s">
        <v>66</v>
      </c>
      <c r="N33" s="37" t="s">
        <v>243</v>
      </c>
      <c r="O33" s="38"/>
      <c r="P33" s="37" t="s">
        <v>244</v>
      </c>
      <c r="Q33" s="37" t="s">
        <v>245</v>
      </c>
      <c r="R33" s="37" t="s">
        <v>70</v>
      </c>
      <c r="S33" s="38"/>
      <c r="T33" s="37" t="s">
        <v>71</v>
      </c>
      <c r="U33" s="38"/>
      <c r="V33" s="37"/>
      <c r="W33" s="34"/>
      <c r="X33" s="34"/>
      <c r="Y33" s="34"/>
      <c r="Z33" s="34"/>
      <c r="AA33" s="34"/>
      <c r="AB33" s="34"/>
      <c r="AC33" s="34"/>
      <c r="AD33" s="34"/>
      <c r="AE33" s="34"/>
      <c r="AF33" s="34"/>
    </row>
    <row r="34">
      <c r="E34" s="20"/>
      <c r="F34" s="20"/>
      <c r="G34" s="21" t="s">
        <v>72</v>
      </c>
      <c r="H34" s="40">
        <v>1.0</v>
      </c>
      <c r="I34" s="30">
        <v>3.0</v>
      </c>
      <c r="J34" s="30">
        <v>2.0</v>
      </c>
      <c r="K34" s="41"/>
      <c r="L34" s="30">
        <v>3.0</v>
      </c>
      <c r="M34" s="30">
        <v>2.0</v>
      </c>
      <c r="N34" s="30">
        <v>2.0</v>
      </c>
      <c r="O34" s="41"/>
      <c r="P34" s="30">
        <v>2.0</v>
      </c>
      <c r="Q34" s="30">
        <v>3.0</v>
      </c>
      <c r="R34" s="30">
        <v>3.0</v>
      </c>
      <c r="S34" s="41"/>
      <c r="T34" s="30">
        <v>3.0</v>
      </c>
      <c r="U34" s="41"/>
      <c r="V34" s="30"/>
    </row>
    <row r="35">
      <c r="E35" s="21"/>
      <c r="F35" s="21"/>
      <c r="G35" s="21" t="s">
        <v>73</v>
      </c>
      <c r="H35" s="40" t="s">
        <v>246</v>
      </c>
      <c r="I35" s="30" t="s">
        <v>78</v>
      </c>
      <c r="J35" s="30" t="s">
        <v>247</v>
      </c>
      <c r="K35" s="41"/>
      <c r="L35" s="30" t="s">
        <v>47</v>
      </c>
      <c r="M35" s="30" t="s">
        <v>76</v>
      </c>
      <c r="N35" s="30" t="s">
        <v>248</v>
      </c>
      <c r="O35" s="41"/>
      <c r="P35" s="30" t="s">
        <v>249</v>
      </c>
      <c r="Q35" s="30" t="s">
        <v>79</v>
      </c>
      <c r="R35" s="30" t="s">
        <v>80</v>
      </c>
      <c r="S35" s="41"/>
      <c r="T35" s="30" t="s">
        <v>81</v>
      </c>
      <c r="U35" s="41"/>
      <c r="V35" s="30"/>
    </row>
    <row r="36">
      <c r="E36" s="21"/>
      <c r="F36" s="21"/>
      <c r="G36" s="21" t="s">
        <v>18</v>
      </c>
      <c r="H36" s="43">
        <v>7.0</v>
      </c>
      <c r="I36" s="44">
        <v>3.0</v>
      </c>
      <c r="J36" s="44">
        <v>2.0</v>
      </c>
      <c r="K36" s="41"/>
      <c r="L36" s="44">
        <v>1.0</v>
      </c>
      <c r="M36" s="44">
        <v>3.0</v>
      </c>
      <c r="N36" s="44">
        <v>3.0</v>
      </c>
      <c r="O36" s="41"/>
      <c r="P36" s="44">
        <v>2.0</v>
      </c>
      <c r="Q36" s="44">
        <v>3.0</v>
      </c>
      <c r="R36" s="44">
        <v>7.0</v>
      </c>
      <c r="S36" s="41"/>
      <c r="T36" s="44">
        <v>2.0</v>
      </c>
      <c r="U36" s="41"/>
      <c r="V36" s="44"/>
    </row>
    <row r="37">
      <c r="E37" s="21" t="s">
        <v>55</v>
      </c>
      <c r="F37" s="21" t="s">
        <v>15</v>
      </c>
      <c r="G37" s="21" t="s">
        <v>19</v>
      </c>
      <c r="H37" s="45" t="s">
        <v>31</v>
      </c>
      <c r="I37" s="46" t="s">
        <v>31</v>
      </c>
      <c r="J37" s="46" t="s">
        <v>31</v>
      </c>
      <c r="K37" s="41"/>
      <c r="L37" s="44" t="s">
        <v>238</v>
      </c>
      <c r="M37" s="44" t="s">
        <v>238</v>
      </c>
      <c r="N37" s="44" t="s">
        <v>238</v>
      </c>
      <c r="O37" s="41"/>
      <c r="P37" s="44" t="s">
        <v>42</v>
      </c>
      <c r="Q37" s="44" t="s">
        <v>42</v>
      </c>
      <c r="R37" s="44" t="s">
        <v>42</v>
      </c>
      <c r="S37" s="41"/>
      <c r="T37" s="46" t="s">
        <v>48</v>
      </c>
      <c r="U37" s="41"/>
      <c r="V37" s="46"/>
    </row>
    <row r="38" ht="16.5" customHeight="1">
      <c r="C38" s="47" t="s">
        <v>82</v>
      </c>
      <c r="E38" s="19" t="s">
        <v>231</v>
      </c>
      <c r="F38" s="19" t="s">
        <v>281</v>
      </c>
      <c r="H38" s="7">
        <v>3.0</v>
      </c>
      <c r="I38" s="7">
        <v>3.0</v>
      </c>
      <c r="J38" s="7">
        <v>3.0</v>
      </c>
      <c r="L38" s="7">
        <v>3.0</v>
      </c>
      <c r="M38" s="7">
        <v>3.0</v>
      </c>
      <c r="N38" s="13">
        <v>2.0</v>
      </c>
      <c r="P38" s="7">
        <v>3.0</v>
      </c>
      <c r="Q38" s="13">
        <v>2.0</v>
      </c>
      <c r="R38" s="7">
        <v>3.0</v>
      </c>
      <c r="T38" s="7">
        <v>3.0</v>
      </c>
      <c r="V38" s="19"/>
    </row>
    <row r="39" ht="16.5" customHeight="1">
      <c r="E39" s="19" t="s">
        <v>231</v>
      </c>
      <c r="F39" s="19" t="s">
        <v>282</v>
      </c>
      <c r="H39" s="7">
        <v>3.0</v>
      </c>
      <c r="I39" s="7">
        <v>3.0</v>
      </c>
      <c r="J39" s="137" t="s">
        <v>283</v>
      </c>
      <c r="L39" s="7">
        <v>3.0</v>
      </c>
      <c r="M39" s="7">
        <v>3.0</v>
      </c>
      <c r="N39" s="7">
        <v>3.0</v>
      </c>
      <c r="P39" s="7">
        <v>3.0</v>
      </c>
      <c r="Q39" s="7">
        <v>3.0</v>
      </c>
      <c r="R39" s="7">
        <v>3.0</v>
      </c>
      <c r="T39" s="7">
        <v>3.0</v>
      </c>
      <c r="V39" s="19"/>
    </row>
    <row r="40" ht="16.5" customHeight="1">
      <c r="E40" s="19" t="s">
        <v>231</v>
      </c>
      <c r="F40" s="19" t="s">
        <v>92</v>
      </c>
      <c r="V40" s="19"/>
    </row>
    <row r="41" ht="16.5" customHeight="1">
      <c r="A41" s="55"/>
      <c r="B41" s="55"/>
      <c r="C41" s="55"/>
      <c r="D41" s="55"/>
      <c r="E41" s="55"/>
      <c r="F41" s="55"/>
      <c r="G41" s="138"/>
      <c r="H41" s="139"/>
      <c r="I41" s="55"/>
      <c r="J41" s="139"/>
      <c r="K41" s="55"/>
      <c r="L41" s="55"/>
      <c r="M41" s="55"/>
      <c r="N41" s="55"/>
      <c r="O41" s="55"/>
      <c r="P41" s="55"/>
      <c r="Q41" s="55"/>
      <c r="R41" s="55"/>
      <c r="S41" s="55"/>
      <c r="T41" s="138" t="s">
        <v>284</v>
      </c>
      <c r="U41" s="55"/>
      <c r="V41" s="139"/>
      <c r="W41" s="55"/>
      <c r="X41" s="55"/>
      <c r="Y41" s="55"/>
      <c r="Z41" s="55"/>
      <c r="AA41" s="55"/>
      <c r="AB41" s="55"/>
      <c r="AC41" s="55"/>
      <c r="AD41" s="55"/>
      <c r="AE41" s="55"/>
      <c r="AF41" s="55"/>
    </row>
    <row r="42" ht="16.5" customHeight="1">
      <c r="E42" s="19" t="s">
        <v>86</v>
      </c>
      <c r="F42" s="19" t="s">
        <v>285</v>
      </c>
      <c r="H42" s="19"/>
      <c r="I42" s="19"/>
      <c r="J42" s="19"/>
      <c r="L42" s="19"/>
      <c r="M42" s="19"/>
      <c r="N42" s="19"/>
      <c r="P42" s="19"/>
      <c r="Q42" s="19"/>
      <c r="R42" s="19"/>
      <c r="T42" s="7">
        <v>2.0</v>
      </c>
      <c r="V42" s="19"/>
    </row>
    <row r="43" ht="16.5" customHeight="1">
      <c r="E43" s="19" t="s">
        <v>86</v>
      </c>
      <c r="F43" s="19" t="s">
        <v>286</v>
      </c>
      <c r="H43" s="19"/>
      <c r="I43" s="19"/>
      <c r="J43" s="19"/>
      <c r="L43" s="19"/>
      <c r="M43" s="19"/>
      <c r="N43" s="19"/>
      <c r="P43" s="140" t="s">
        <v>287</v>
      </c>
      <c r="Q43" s="19"/>
      <c r="R43" s="19"/>
      <c r="T43" s="7" t="s">
        <v>288</v>
      </c>
      <c r="V43" s="19"/>
    </row>
    <row r="44" ht="16.5" customHeight="1">
      <c r="A44" s="26"/>
      <c r="B44" s="26"/>
      <c r="C44" s="57"/>
      <c r="D44" s="26"/>
      <c r="E44" s="19" t="s">
        <v>86</v>
      </c>
      <c r="F44" s="61" t="s">
        <v>289</v>
      </c>
      <c r="G44" s="26"/>
      <c r="H44" s="26"/>
      <c r="I44" s="26"/>
      <c r="J44" s="26"/>
      <c r="K44" s="26"/>
      <c r="L44" s="141">
        <v>2.0</v>
      </c>
      <c r="M44" s="26"/>
      <c r="N44" s="26"/>
      <c r="O44" s="26"/>
      <c r="P44" s="26"/>
      <c r="Q44" s="26"/>
      <c r="R44" s="26"/>
      <c r="S44" s="26"/>
      <c r="T44" s="142" t="s">
        <v>290</v>
      </c>
      <c r="U44" s="26"/>
      <c r="V44" s="57"/>
      <c r="W44" s="26"/>
      <c r="X44" s="26"/>
      <c r="Y44" s="26"/>
      <c r="Z44" s="26"/>
      <c r="AA44" s="26"/>
      <c r="AB44" s="26"/>
      <c r="AC44" s="26"/>
      <c r="AD44" s="26"/>
      <c r="AE44" s="26"/>
      <c r="AF44" s="26"/>
    </row>
    <row r="45" ht="16.5" customHeight="1">
      <c r="A45" s="26"/>
      <c r="B45" s="26"/>
      <c r="C45" s="57"/>
      <c r="D45" s="26"/>
      <c r="E45" s="19" t="s">
        <v>86</v>
      </c>
      <c r="F45" s="61" t="s">
        <v>291</v>
      </c>
      <c r="G45" s="26"/>
      <c r="H45" s="26"/>
      <c r="I45" s="141">
        <v>2.0</v>
      </c>
      <c r="J45" s="26"/>
      <c r="K45" s="26"/>
      <c r="L45" s="26"/>
      <c r="M45" s="26"/>
      <c r="N45" s="26"/>
      <c r="O45" s="26"/>
      <c r="P45" s="131"/>
      <c r="Q45" s="26"/>
      <c r="R45" s="26"/>
      <c r="S45" s="26"/>
      <c r="T45" s="26"/>
      <c r="U45" s="26"/>
      <c r="V45" s="57"/>
      <c r="W45" s="26"/>
      <c r="X45" s="26"/>
      <c r="Y45" s="26"/>
      <c r="Z45" s="26"/>
      <c r="AA45" s="26"/>
      <c r="AB45" s="26"/>
      <c r="AC45" s="26"/>
      <c r="AD45" s="26"/>
      <c r="AE45" s="26"/>
      <c r="AF45" s="26"/>
    </row>
    <row r="46" ht="16.5" customHeight="1">
      <c r="A46" s="26"/>
      <c r="B46" s="26"/>
      <c r="C46" s="57"/>
      <c r="D46" s="26"/>
      <c r="E46" s="19" t="s">
        <v>86</v>
      </c>
      <c r="F46" s="61" t="s">
        <v>292</v>
      </c>
      <c r="G46" s="26"/>
      <c r="H46" s="26"/>
      <c r="I46" s="26"/>
      <c r="J46" s="26"/>
      <c r="K46" s="26"/>
      <c r="L46" s="26"/>
      <c r="M46" s="26"/>
      <c r="N46" s="26"/>
      <c r="O46" s="26"/>
      <c r="P46" s="26"/>
      <c r="Q46" s="26"/>
      <c r="R46" s="141">
        <v>2.0</v>
      </c>
      <c r="S46" s="26"/>
      <c r="T46" s="131"/>
      <c r="U46" s="26"/>
      <c r="V46" s="57"/>
      <c r="W46" s="26"/>
      <c r="X46" s="26"/>
      <c r="Y46" s="26"/>
      <c r="Z46" s="26"/>
      <c r="AA46" s="26"/>
      <c r="AB46" s="26"/>
      <c r="AC46" s="26"/>
      <c r="AD46" s="26"/>
      <c r="AE46" s="26"/>
      <c r="AF46" s="26"/>
    </row>
    <row r="47" ht="16.5" customHeight="1">
      <c r="A47" s="26"/>
      <c r="B47" s="26"/>
      <c r="C47" s="57"/>
      <c r="D47" s="26"/>
      <c r="E47" s="19" t="s">
        <v>86</v>
      </c>
      <c r="F47" s="61" t="s">
        <v>293</v>
      </c>
      <c r="G47" s="26"/>
      <c r="H47" s="26"/>
      <c r="I47" s="26"/>
      <c r="J47" s="26"/>
      <c r="K47" s="26"/>
      <c r="L47" s="26"/>
      <c r="M47" s="141">
        <v>2.0</v>
      </c>
      <c r="N47" s="26"/>
      <c r="O47" s="26"/>
      <c r="P47" s="131"/>
      <c r="Q47" s="26"/>
      <c r="R47" s="26"/>
      <c r="S47" s="26"/>
      <c r="T47" s="26"/>
      <c r="U47" s="26"/>
      <c r="V47" s="57"/>
      <c r="W47" s="26"/>
      <c r="X47" s="26"/>
      <c r="Y47" s="26"/>
      <c r="Z47" s="26"/>
      <c r="AA47" s="26"/>
      <c r="AB47" s="26"/>
      <c r="AC47" s="26"/>
      <c r="AD47" s="26"/>
      <c r="AE47" s="26"/>
      <c r="AF47" s="26"/>
    </row>
    <row r="48" ht="16.5" customHeight="1">
      <c r="A48" s="26"/>
      <c r="B48" s="26"/>
      <c r="C48" s="57"/>
      <c r="D48" s="26"/>
      <c r="E48" s="19" t="s">
        <v>86</v>
      </c>
      <c r="F48" s="61" t="s">
        <v>294</v>
      </c>
      <c r="G48" s="26"/>
      <c r="H48" s="26"/>
      <c r="I48" s="26"/>
      <c r="J48" s="143">
        <v>1.0</v>
      </c>
      <c r="K48" s="26"/>
      <c r="L48" s="26"/>
      <c r="M48" s="26"/>
      <c r="N48" s="26"/>
      <c r="O48" s="26"/>
      <c r="P48" s="26"/>
      <c r="Q48" s="26"/>
      <c r="R48" s="26"/>
      <c r="S48" s="26"/>
      <c r="T48" s="131"/>
      <c r="U48" s="26"/>
      <c r="V48" s="57"/>
      <c r="W48" s="26"/>
      <c r="X48" s="26"/>
      <c r="Y48" s="26"/>
      <c r="Z48" s="26"/>
      <c r="AA48" s="26"/>
      <c r="AB48" s="26"/>
      <c r="AC48" s="26"/>
      <c r="AD48" s="26"/>
      <c r="AE48" s="26"/>
      <c r="AF48" s="26"/>
    </row>
    <row r="49" ht="16.5" customHeight="1">
      <c r="A49" s="26"/>
      <c r="B49" s="26"/>
      <c r="C49" s="57"/>
      <c r="D49" s="26"/>
      <c r="E49" s="19" t="s">
        <v>86</v>
      </c>
      <c r="F49" s="61" t="s">
        <v>295</v>
      </c>
      <c r="G49" s="26"/>
      <c r="H49" s="26"/>
      <c r="I49" s="26"/>
      <c r="J49" s="26"/>
      <c r="K49" s="26"/>
      <c r="L49" s="26"/>
      <c r="M49" s="26"/>
      <c r="N49" s="26"/>
      <c r="O49" s="26"/>
      <c r="P49" s="131"/>
      <c r="Q49" s="141">
        <v>2.0</v>
      </c>
      <c r="R49" s="26"/>
      <c r="S49" s="26"/>
      <c r="T49" s="26"/>
      <c r="U49" s="26"/>
      <c r="V49" s="57"/>
      <c r="W49" s="26"/>
      <c r="X49" s="26"/>
      <c r="Y49" s="26"/>
      <c r="Z49" s="26"/>
      <c r="AA49" s="26"/>
      <c r="AB49" s="26"/>
      <c r="AC49" s="26"/>
      <c r="AD49" s="26"/>
      <c r="AE49" s="26"/>
      <c r="AF49" s="26"/>
    </row>
    <row r="50" ht="16.5" customHeight="1">
      <c r="A50" s="26"/>
      <c r="B50" s="26"/>
      <c r="C50" s="57"/>
      <c r="D50" s="26"/>
      <c r="E50" s="19" t="s">
        <v>86</v>
      </c>
      <c r="F50" s="61" t="s">
        <v>296</v>
      </c>
      <c r="G50" s="61"/>
      <c r="H50" s="26"/>
      <c r="I50" s="26"/>
      <c r="J50" s="26"/>
      <c r="K50" s="26"/>
      <c r="L50" s="26"/>
      <c r="M50" s="26"/>
      <c r="N50" s="144" t="s">
        <v>287</v>
      </c>
      <c r="O50" s="26"/>
      <c r="P50" s="26"/>
      <c r="Q50" s="26"/>
      <c r="R50" s="26"/>
      <c r="S50" s="26"/>
      <c r="T50" s="131"/>
      <c r="U50" s="26"/>
      <c r="V50" s="57"/>
      <c r="W50" s="26"/>
      <c r="X50" s="26"/>
      <c r="Y50" s="26"/>
      <c r="Z50" s="26"/>
      <c r="AA50" s="26"/>
      <c r="AB50" s="26"/>
      <c r="AC50" s="26"/>
      <c r="AD50" s="26"/>
      <c r="AE50" s="26"/>
      <c r="AF50" s="26"/>
    </row>
    <row r="51" ht="16.5" customHeight="1">
      <c r="A51" s="26"/>
      <c r="B51" s="26"/>
      <c r="C51" s="57"/>
      <c r="D51" s="26"/>
      <c r="E51" s="19" t="s">
        <v>86</v>
      </c>
      <c r="F51" s="61" t="s">
        <v>297</v>
      </c>
      <c r="G51" s="61"/>
      <c r="H51" s="141">
        <v>2.0</v>
      </c>
      <c r="I51" s="26"/>
      <c r="J51" s="26"/>
      <c r="K51" s="26"/>
      <c r="L51" s="26"/>
      <c r="M51" s="26"/>
      <c r="N51" s="26"/>
      <c r="O51" s="26"/>
      <c r="P51" s="131"/>
      <c r="Q51" s="26"/>
      <c r="R51" s="26"/>
      <c r="S51" s="26"/>
      <c r="T51" s="26"/>
      <c r="U51" s="26"/>
      <c r="V51" s="57"/>
      <c r="W51" s="26"/>
      <c r="X51" s="26"/>
      <c r="Y51" s="26"/>
      <c r="Z51" s="26"/>
      <c r="AA51" s="26"/>
      <c r="AB51" s="26"/>
      <c r="AC51" s="26"/>
      <c r="AD51" s="26"/>
      <c r="AE51" s="26"/>
      <c r="AF51" s="26"/>
    </row>
    <row r="52" ht="16.5" customHeight="1">
      <c r="A52" s="64"/>
      <c r="B52" s="64"/>
      <c r="C52" s="65"/>
      <c r="D52" s="64"/>
      <c r="E52" s="65"/>
      <c r="F52" s="64"/>
      <c r="G52" s="64"/>
      <c r="H52" s="64"/>
      <c r="I52" s="64"/>
      <c r="J52" s="64"/>
      <c r="K52" s="64"/>
      <c r="L52" s="64"/>
      <c r="M52" s="64"/>
      <c r="N52" s="64"/>
      <c r="O52" s="64"/>
      <c r="P52" s="145"/>
      <c r="Q52" s="64"/>
      <c r="R52" s="64"/>
      <c r="S52" s="64"/>
      <c r="T52" s="64"/>
      <c r="U52" s="64"/>
      <c r="V52" s="65"/>
      <c r="W52" s="64"/>
      <c r="X52" s="64"/>
      <c r="Y52" s="64"/>
      <c r="Z52" s="64"/>
      <c r="AA52" s="64"/>
      <c r="AB52" s="64"/>
      <c r="AC52" s="64"/>
      <c r="AD52" s="64"/>
      <c r="AE52" s="64"/>
      <c r="AF52" s="64"/>
    </row>
    <row r="53" ht="16.5" customHeight="1">
      <c r="C53" s="66" t="s">
        <v>105</v>
      </c>
      <c r="E53" s="67" t="s">
        <v>86</v>
      </c>
      <c r="F53" s="68"/>
      <c r="S53" s="26"/>
    </row>
    <row r="54" ht="16.5" customHeight="1">
      <c r="E54" s="47"/>
    </row>
    <row r="55" ht="16.5" customHeight="1">
      <c r="C55" s="69" t="s">
        <v>106</v>
      </c>
      <c r="E55" s="19" t="s">
        <v>58</v>
      </c>
      <c r="F55" s="70" t="s">
        <v>107</v>
      </c>
      <c r="P55" s="19"/>
      <c r="R55" s="12">
        <v>4.0</v>
      </c>
    </row>
    <row r="56" ht="17.25" customHeight="1">
      <c r="A56" s="8"/>
      <c r="B56" s="8"/>
      <c r="E56" s="19" t="s">
        <v>58</v>
      </c>
      <c r="F56" s="70" t="s">
        <v>298</v>
      </c>
      <c r="K56" s="8"/>
      <c r="L56" s="8"/>
      <c r="M56" s="8"/>
      <c r="N56" s="8"/>
      <c r="O56" s="8"/>
      <c r="P56" s="7" t="s">
        <v>299</v>
      </c>
      <c r="Q56" s="7" t="s">
        <v>300</v>
      </c>
      <c r="S56" s="8"/>
      <c r="T56" s="19"/>
      <c r="U56" s="8"/>
      <c r="W56" s="8"/>
      <c r="X56" s="8"/>
      <c r="Y56" s="8"/>
      <c r="Z56" s="8"/>
      <c r="AA56" s="8"/>
      <c r="AB56" s="8"/>
      <c r="AC56" s="8"/>
      <c r="AD56" s="8"/>
      <c r="AE56" s="8"/>
      <c r="AF56" s="8"/>
    </row>
    <row r="57" ht="17.25" customHeight="1">
      <c r="A57" s="8"/>
      <c r="B57" s="8"/>
      <c r="E57" s="19" t="s">
        <v>58</v>
      </c>
      <c r="F57" s="70" t="s">
        <v>298</v>
      </c>
      <c r="K57" s="8"/>
      <c r="L57" s="8"/>
      <c r="M57" s="8"/>
      <c r="N57" s="8"/>
      <c r="O57" s="8"/>
      <c r="P57" s="19"/>
      <c r="Q57" s="12" t="s">
        <v>301</v>
      </c>
      <c r="S57" s="8"/>
      <c r="T57" s="19"/>
      <c r="U57" s="8"/>
      <c r="W57" s="8"/>
      <c r="X57" s="8"/>
      <c r="Y57" s="8"/>
      <c r="Z57" s="8"/>
      <c r="AA57" s="8"/>
      <c r="AB57" s="8"/>
      <c r="AC57" s="8"/>
      <c r="AD57" s="8"/>
      <c r="AE57" s="8"/>
      <c r="AF57" s="8"/>
    </row>
    <row r="58" ht="16.5" customHeight="1">
      <c r="C58" s="47"/>
      <c r="E58" s="19" t="s">
        <v>58</v>
      </c>
      <c r="F58" s="70" t="s">
        <v>108</v>
      </c>
      <c r="Q58" s="7" t="s">
        <v>302</v>
      </c>
      <c r="R58" s="13">
        <v>2.0</v>
      </c>
      <c r="T58" s="7" t="s">
        <v>303</v>
      </c>
      <c r="X58" s="73"/>
      <c r="Y58" s="73"/>
      <c r="Z58" s="73"/>
    </row>
    <row r="59" ht="16.5" customHeight="1">
      <c r="C59" s="47"/>
      <c r="E59" s="19" t="s">
        <v>58</v>
      </c>
      <c r="F59" s="68"/>
      <c r="P59" s="19"/>
      <c r="X59" s="73"/>
      <c r="Y59" s="73"/>
      <c r="Z59" s="73"/>
    </row>
    <row r="60" ht="16.5" customHeight="1">
      <c r="C60" s="47"/>
      <c r="E60" s="19" t="s">
        <v>58</v>
      </c>
      <c r="F60" s="68"/>
      <c r="G60" s="19"/>
      <c r="P60" s="19"/>
      <c r="X60" s="73"/>
      <c r="Y60" s="73"/>
      <c r="Z60" s="73"/>
    </row>
    <row r="61" ht="16.5" customHeight="1">
      <c r="E61" s="21"/>
    </row>
    <row r="62" ht="16.5" customHeight="1">
      <c r="C62" s="21" t="s">
        <v>149</v>
      </c>
      <c r="E62" s="21" t="s">
        <v>145</v>
      </c>
      <c r="F62" s="96" t="s">
        <v>171</v>
      </c>
      <c r="H62" s="7">
        <v>3.0</v>
      </c>
      <c r="I62" s="7">
        <v>3.0</v>
      </c>
      <c r="J62" s="7">
        <v>3.0</v>
      </c>
    </row>
    <row r="63" ht="16.5" customHeight="1">
      <c r="E63" s="21" t="s">
        <v>145</v>
      </c>
      <c r="F63" s="83" t="s">
        <v>263</v>
      </c>
      <c r="G63" s="21"/>
      <c r="H63" s="13" t="s">
        <v>264</v>
      </c>
      <c r="J63" s="7" t="s">
        <v>265</v>
      </c>
      <c r="T63" s="7" t="s">
        <v>276</v>
      </c>
    </row>
    <row r="64" ht="16.5" customHeight="1">
      <c r="E64" s="21" t="s">
        <v>175</v>
      </c>
      <c r="F64" s="83" t="s">
        <v>267</v>
      </c>
      <c r="G64" s="21"/>
      <c r="H64" s="7" t="s">
        <v>268</v>
      </c>
      <c r="I64" s="12" t="s">
        <v>269</v>
      </c>
      <c r="P64" s="19"/>
      <c r="T64" s="7" t="s">
        <v>276</v>
      </c>
    </row>
    <row r="65" ht="16.5" customHeight="1">
      <c r="E65" s="21" t="s">
        <v>145</v>
      </c>
      <c r="F65" s="83" t="s">
        <v>270</v>
      </c>
      <c r="G65" s="21"/>
      <c r="H65" s="7" t="s">
        <v>268</v>
      </c>
      <c r="J65" s="13" t="s">
        <v>271</v>
      </c>
      <c r="T65" s="7" t="s">
        <v>179</v>
      </c>
    </row>
    <row r="66" ht="16.5" customHeight="1">
      <c r="A66" s="103"/>
      <c r="B66" s="103"/>
      <c r="C66" s="103"/>
      <c r="D66" s="103"/>
      <c r="E66" s="21" t="s">
        <v>175</v>
      </c>
      <c r="F66" s="83" t="s">
        <v>272</v>
      </c>
      <c r="G66" s="21"/>
      <c r="H66" s="12" t="s">
        <v>273</v>
      </c>
      <c r="I66" s="19"/>
      <c r="T66" s="19"/>
      <c r="W66" s="103"/>
      <c r="X66" s="103"/>
      <c r="Y66" s="103"/>
      <c r="Z66" s="103"/>
      <c r="AA66" s="103"/>
    </row>
    <row r="67" ht="16.5" customHeight="1">
      <c r="E67" s="21" t="s">
        <v>145</v>
      </c>
      <c r="F67" s="83" t="s">
        <v>274</v>
      </c>
      <c r="G67" s="21"/>
      <c r="H67" s="7" t="s">
        <v>268</v>
      </c>
      <c r="J67" s="7" t="s">
        <v>304</v>
      </c>
      <c r="T67" s="19"/>
      <c r="X67" s="19" t="s">
        <v>305</v>
      </c>
      <c r="Y67" s="146">
        <v>23.0</v>
      </c>
    </row>
    <row r="68" ht="16.5" customHeight="1">
      <c r="E68" s="21" t="s">
        <v>175</v>
      </c>
      <c r="F68" s="96" t="s">
        <v>277</v>
      </c>
      <c r="G68" s="21"/>
      <c r="I68" s="13" t="s">
        <v>278</v>
      </c>
      <c r="J68" s="134"/>
      <c r="X68" s="19" t="s">
        <v>306</v>
      </c>
      <c r="Y68" s="146">
        <v>23.0</v>
      </c>
    </row>
    <row r="69" ht="16.5" customHeight="1">
      <c r="E69" s="21" t="s">
        <v>175</v>
      </c>
      <c r="F69" s="96" t="s">
        <v>279</v>
      </c>
      <c r="G69" s="21"/>
      <c r="I69" s="7" t="s">
        <v>280</v>
      </c>
      <c r="J69" s="19"/>
      <c r="T69" s="19"/>
      <c r="X69" s="19" t="s">
        <v>307</v>
      </c>
      <c r="Y69" s="146">
        <v>20.0</v>
      </c>
    </row>
    <row r="70" ht="16.5" customHeight="1">
      <c r="E70" s="21"/>
      <c r="X70" s="19" t="s">
        <v>308</v>
      </c>
      <c r="Y70" s="146">
        <v>20.0</v>
      </c>
    </row>
    <row r="71" ht="16.5" customHeight="1">
      <c r="C71" s="21" t="s">
        <v>152</v>
      </c>
      <c r="F71" s="87" t="s">
        <v>250</v>
      </c>
      <c r="L71" s="85"/>
      <c r="M71" s="86" t="s">
        <v>251</v>
      </c>
      <c r="N71" s="85"/>
      <c r="X71" s="19" t="s">
        <v>309</v>
      </c>
      <c r="Y71" s="146">
        <v>19.0</v>
      </c>
    </row>
    <row r="72" ht="16.5" customHeight="1">
      <c r="F72" s="87" t="s">
        <v>252</v>
      </c>
      <c r="L72" s="85"/>
      <c r="M72" s="88" t="s">
        <v>253</v>
      </c>
      <c r="N72" s="85"/>
      <c r="T72" s="19"/>
      <c r="X72" s="19" t="s">
        <v>310</v>
      </c>
      <c r="Y72" s="146">
        <v>18.0</v>
      </c>
    </row>
    <row r="73" ht="16.5" customHeight="1">
      <c r="F73" s="87" t="s">
        <v>254</v>
      </c>
      <c r="L73" s="86" t="s">
        <v>255</v>
      </c>
      <c r="M73" s="90"/>
      <c r="N73" s="85"/>
      <c r="X73" s="19" t="s">
        <v>311</v>
      </c>
      <c r="Y73" s="146">
        <v>17.0</v>
      </c>
    </row>
    <row r="74" ht="16.5" customHeight="1">
      <c r="F74" s="87" t="s">
        <v>256</v>
      </c>
      <c r="L74" s="89" t="s">
        <v>312</v>
      </c>
      <c r="M74" s="90"/>
      <c r="N74" s="85"/>
      <c r="T74" s="7" t="s">
        <v>313</v>
      </c>
      <c r="X74" s="19" t="s">
        <v>314</v>
      </c>
      <c r="Y74" s="146">
        <v>16.0</v>
      </c>
    </row>
    <row r="75" ht="16.5" customHeight="1">
      <c r="F75" s="87" t="s">
        <v>315</v>
      </c>
      <c r="G75" s="21"/>
      <c r="L75" s="7" t="s">
        <v>316</v>
      </c>
      <c r="M75" s="85"/>
      <c r="N75" s="133"/>
      <c r="T75" s="19"/>
      <c r="X75" s="19" t="s">
        <v>317</v>
      </c>
      <c r="Y75" s="146">
        <v>15.0</v>
      </c>
    </row>
    <row r="76" ht="16.5" customHeight="1">
      <c r="F76" s="87" t="s">
        <v>259</v>
      </c>
      <c r="G76" s="21"/>
      <c r="M76" s="85"/>
      <c r="N76" s="133" t="s">
        <v>260</v>
      </c>
      <c r="T76" s="19"/>
      <c r="X76" s="19" t="s">
        <v>318</v>
      </c>
      <c r="Y76" s="146">
        <v>14.0</v>
      </c>
    </row>
    <row r="77" ht="16.5" customHeight="1">
      <c r="F77" s="87" t="s">
        <v>261</v>
      </c>
      <c r="G77" s="21"/>
      <c r="N77" s="7">
        <v>0.0</v>
      </c>
      <c r="Y77" s="76"/>
    </row>
    <row r="78" ht="16.5" customHeight="1">
      <c r="F78" s="87" t="s">
        <v>319</v>
      </c>
      <c r="G78" s="21"/>
      <c r="N78" s="7" t="s">
        <v>320</v>
      </c>
      <c r="Y78" s="76"/>
    </row>
    <row r="79" ht="16.5" customHeight="1">
      <c r="F79" s="61"/>
      <c r="G79" s="21"/>
      <c r="N79" s="7"/>
      <c r="Y79" s="76"/>
    </row>
    <row r="80" ht="16.5" customHeight="1">
      <c r="C80" s="21" t="s">
        <v>114</v>
      </c>
      <c r="D80" s="20"/>
      <c r="E80" s="21" t="s">
        <v>115</v>
      </c>
    </row>
    <row r="81" ht="21.0" customHeight="1">
      <c r="E81" s="19" t="s">
        <v>116</v>
      </c>
      <c r="F81" s="68" t="s">
        <v>321</v>
      </c>
      <c r="M81" s="85"/>
      <c r="P81" s="12" t="s">
        <v>322</v>
      </c>
      <c r="Q81" s="7" t="s">
        <v>323</v>
      </c>
      <c r="R81" s="7" t="s">
        <v>324</v>
      </c>
      <c r="T81" s="19"/>
      <c r="V81" s="19"/>
    </row>
    <row r="82" ht="16.5" customHeight="1">
      <c r="E82" s="19" t="s">
        <v>86</v>
      </c>
      <c r="F82" s="68" t="s">
        <v>325</v>
      </c>
      <c r="Q82" s="19"/>
      <c r="R82" s="19"/>
      <c r="T82" s="11" t="s">
        <v>326</v>
      </c>
    </row>
    <row r="83" ht="16.5" customHeight="1">
      <c r="E83" s="21"/>
    </row>
    <row r="84" ht="16.5" customHeight="1">
      <c r="C84" s="47" t="s">
        <v>127</v>
      </c>
      <c r="E84" s="21"/>
    </row>
    <row r="85" ht="16.5" customHeight="1">
      <c r="A85" s="103"/>
      <c r="B85" s="103"/>
      <c r="C85" s="47"/>
      <c r="E85" s="19" t="s">
        <v>58</v>
      </c>
      <c r="F85" s="70" t="s">
        <v>327</v>
      </c>
      <c r="G85" s="21"/>
      <c r="H85" s="14">
        <v>0.0</v>
      </c>
      <c r="I85" s="12">
        <v>4.0</v>
      </c>
      <c r="J85" s="14">
        <v>0.0</v>
      </c>
      <c r="L85" s="7">
        <v>3.0</v>
      </c>
      <c r="M85" s="140" t="s">
        <v>287</v>
      </c>
      <c r="N85" s="140" t="s">
        <v>287</v>
      </c>
      <c r="P85" s="14">
        <v>0.0</v>
      </c>
      <c r="Q85" s="11" t="s">
        <v>328</v>
      </c>
      <c r="R85" s="12">
        <v>4.0</v>
      </c>
      <c r="T85" s="14">
        <v>0.0</v>
      </c>
      <c r="X85" s="103"/>
      <c r="Y85" s="103"/>
      <c r="Z85" s="103"/>
      <c r="AA85" s="103"/>
    </row>
    <row r="86" ht="16.5" customHeight="1">
      <c r="F86" s="70" t="s">
        <v>329</v>
      </c>
      <c r="G86" s="21"/>
      <c r="I86" s="19"/>
      <c r="J86" s="19"/>
      <c r="L86" s="19"/>
      <c r="M86" s="19"/>
      <c r="N86" s="19"/>
      <c r="P86" s="19"/>
      <c r="Q86" s="19"/>
      <c r="R86" s="19"/>
      <c r="T86" s="147" t="s">
        <v>330</v>
      </c>
      <c r="V86" s="19"/>
    </row>
    <row r="87" ht="16.5" customHeight="1">
      <c r="F87" s="70" t="s">
        <v>331</v>
      </c>
      <c r="G87" s="21"/>
      <c r="H87" s="147">
        <v>2.0</v>
      </c>
      <c r="I87" s="147">
        <v>2.0</v>
      </c>
      <c r="J87" s="147">
        <v>2.0</v>
      </c>
      <c r="K87" s="148"/>
      <c r="L87" s="147">
        <v>2.0</v>
      </c>
      <c r="M87" s="147">
        <v>2.0</v>
      </c>
      <c r="N87" s="147">
        <v>2.0</v>
      </c>
      <c r="O87" s="148"/>
      <c r="P87" s="147">
        <v>2.0</v>
      </c>
      <c r="Q87" s="147">
        <v>2.0</v>
      </c>
      <c r="R87" s="12" t="s">
        <v>332</v>
      </c>
      <c r="T87" s="7">
        <v>2.0</v>
      </c>
      <c r="U87" s="19" t="s">
        <v>333</v>
      </c>
      <c r="V87" s="19"/>
    </row>
    <row r="88" ht="16.5" customHeight="1">
      <c r="C88" s="47"/>
      <c r="E88" s="19" t="s">
        <v>86</v>
      </c>
      <c r="F88" s="68" t="s">
        <v>334</v>
      </c>
      <c r="G88" s="21"/>
      <c r="H88" s="147">
        <v>3.0</v>
      </c>
      <c r="I88" s="149" t="s">
        <v>328</v>
      </c>
      <c r="J88" s="147">
        <v>3.0</v>
      </c>
      <c r="K88" s="148"/>
      <c r="L88" s="147">
        <v>3.0</v>
      </c>
      <c r="M88" s="147">
        <v>3.0</v>
      </c>
      <c r="N88" s="147">
        <v>3.0</v>
      </c>
      <c r="O88" s="148"/>
      <c r="P88" s="150" t="s">
        <v>335</v>
      </c>
      <c r="Q88" s="150" t="s">
        <v>335</v>
      </c>
      <c r="R88" s="7">
        <v>3.0</v>
      </c>
      <c r="T88" s="7">
        <v>3.0</v>
      </c>
      <c r="V88" s="19"/>
    </row>
    <row r="89">
      <c r="F89" s="68" t="s">
        <v>336</v>
      </c>
      <c r="G89" s="19"/>
      <c r="J89" s="19"/>
      <c r="L89" s="19"/>
      <c r="M89" s="19"/>
      <c r="N89" s="19"/>
      <c r="P89" s="19"/>
      <c r="Q89" s="19"/>
      <c r="T89" s="147" t="s">
        <v>132</v>
      </c>
    </row>
    <row r="90" ht="16.5" customHeight="1">
      <c r="E90" s="19" t="s">
        <v>175</v>
      </c>
      <c r="F90" s="151" t="s">
        <v>337</v>
      </c>
      <c r="G90" s="19"/>
      <c r="H90" s="56" t="s">
        <v>338</v>
      </c>
      <c r="I90" s="56" t="s">
        <v>339</v>
      </c>
      <c r="J90" s="56" t="s">
        <v>340</v>
      </c>
      <c r="K90" s="148"/>
      <c r="L90" s="56" t="s">
        <v>339</v>
      </c>
      <c r="M90" s="56" t="s">
        <v>341</v>
      </c>
      <c r="N90" s="56" t="s">
        <v>340</v>
      </c>
      <c r="O90" s="148"/>
      <c r="P90" s="56" t="s">
        <v>340</v>
      </c>
      <c r="Q90" s="56" t="s">
        <v>341</v>
      </c>
      <c r="R90" s="56" t="s">
        <v>339</v>
      </c>
      <c r="S90" s="148"/>
      <c r="T90" s="56" t="s">
        <v>341</v>
      </c>
      <c r="V90" s="19"/>
    </row>
    <row r="91" ht="15.75" customHeight="1">
      <c r="E91" s="19" t="s">
        <v>175</v>
      </c>
      <c r="F91" s="151" t="s">
        <v>342</v>
      </c>
      <c r="G91" s="19"/>
      <c r="H91" s="147" t="s">
        <v>343</v>
      </c>
      <c r="I91" s="147">
        <v>3.0</v>
      </c>
      <c r="J91" s="140">
        <v>0.0</v>
      </c>
      <c r="K91" s="148"/>
      <c r="L91" s="147">
        <v>3.0</v>
      </c>
      <c r="M91" s="147">
        <v>3.0</v>
      </c>
      <c r="N91" s="140">
        <v>1.0</v>
      </c>
      <c r="O91" s="148"/>
      <c r="P91" s="147">
        <v>3.0</v>
      </c>
      <c r="Q91" s="147">
        <v>3.0</v>
      </c>
      <c r="R91" s="147">
        <v>3.0</v>
      </c>
      <c r="S91" s="148"/>
      <c r="T91" s="150">
        <v>4.0</v>
      </c>
      <c r="V91" s="19"/>
    </row>
    <row r="92" ht="16.5" customHeight="1">
      <c r="A92" s="26"/>
      <c r="B92" s="26"/>
      <c r="C92" s="26"/>
      <c r="D92" s="26"/>
      <c r="E92" s="57"/>
      <c r="F92" s="152" t="s">
        <v>344</v>
      </c>
      <c r="G92" s="57"/>
      <c r="H92" s="131"/>
      <c r="I92" s="132"/>
      <c r="J92" s="132"/>
      <c r="K92" s="131"/>
      <c r="L92" s="132"/>
      <c r="M92" s="132"/>
      <c r="N92" s="132"/>
      <c r="O92" s="131"/>
      <c r="P92" s="132"/>
      <c r="Q92" s="132"/>
      <c r="R92" s="132"/>
      <c r="S92" s="131"/>
      <c r="T92" s="132"/>
      <c r="U92" s="26"/>
      <c r="V92" s="57"/>
      <c r="W92" s="26"/>
      <c r="X92" s="26"/>
      <c r="Y92" s="26"/>
      <c r="Z92" s="26"/>
      <c r="AA92" s="26"/>
      <c r="AB92" s="26"/>
      <c r="AC92" s="26"/>
      <c r="AD92" s="26"/>
      <c r="AE92" s="26"/>
      <c r="AF92" s="26"/>
    </row>
    <row r="93" ht="16.5" customHeight="1">
      <c r="F93" s="151" t="s">
        <v>345</v>
      </c>
      <c r="G93" s="19"/>
      <c r="H93" s="148"/>
      <c r="I93" s="56"/>
      <c r="J93" s="56"/>
      <c r="K93" s="148"/>
      <c r="L93" s="56"/>
      <c r="M93" s="56"/>
      <c r="N93" s="56"/>
      <c r="O93" s="148"/>
      <c r="P93" s="56"/>
      <c r="Q93" s="56"/>
      <c r="R93" s="56"/>
      <c r="S93" s="148"/>
      <c r="T93" s="147" t="s">
        <v>276</v>
      </c>
      <c r="V93" s="19"/>
    </row>
    <row r="94" ht="16.5" customHeight="1">
      <c r="E94" s="19" t="s">
        <v>86</v>
      </c>
      <c r="F94" s="151" t="s">
        <v>346</v>
      </c>
      <c r="G94" s="19"/>
      <c r="H94" s="147" t="s">
        <v>347</v>
      </c>
      <c r="I94" s="147">
        <v>3.0</v>
      </c>
      <c r="J94" s="147">
        <v>3.0</v>
      </c>
      <c r="K94" s="148"/>
      <c r="L94" s="147">
        <v>3.0</v>
      </c>
      <c r="M94" s="147">
        <v>3.0</v>
      </c>
      <c r="N94" s="149" t="s">
        <v>348</v>
      </c>
      <c r="O94" s="148"/>
      <c r="P94" s="147">
        <v>3.0</v>
      </c>
      <c r="Q94" s="147">
        <v>3.0</v>
      </c>
      <c r="R94" s="147">
        <v>3.0</v>
      </c>
      <c r="S94" s="148"/>
      <c r="T94" s="147">
        <v>3.0</v>
      </c>
      <c r="V94" s="19"/>
    </row>
    <row r="95" ht="16.5" customHeight="1">
      <c r="F95" s="151" t="s">
        <v>349</v>
      </c>
      <c r="G95" s="19"/>
      <c r="H95" s="148"/>
      <c r="I95" s="56"/>
      <c r="J95" s="56"/>
      <c r="K95" s="148"/>
      <c r="L95" s="56"/>
      <c r="M95" s="56"/>
      <c r="N95" s="56"/>
      <c r="O95" s="148"/>
      <c r="P95" s="56"/>
      <c r="Q95" s="56"/>
      <c r="R95" s="56"/>
      <c r="S95" s="148"/>
      <c r="T95" s="147" t="s">
        <v>266</v>
      </c>
      <c r="V95" s="19"/>
    </row>
    <row r="96" ht="16.5" customHeight="1">
      <c r="F96" s="151" t="s">
        <v>350</v>
      </c>
      <c r="G96" s="19"/>
      <c r="H96" s="148"/>
      <c r="I96" s="56"/>
      <c r="J96" s="56"/>
      <c r="K96" s="148"/>
      <c r="L96" s="56"/>
      <c r="M96" s="56"/>
      <c r="N96" s="56"/>
      <c r="O96" s="148"/>
      <c r="P96" s="56"/>
      <c r="Q96" s="56"/>
      <c r="R96" s="56"/>
      <c r="S96" s="148"/>
      <c r="T96" s="147" t="s">
        <v>351</v>
      </c>
      <c r="V96" s="19"/>
    </row>
    <row r="97" ht="16.5" customHeight="1">
      <c r="A97" s="8"/>
      <c r="B97" s="8"/>
      <c r="C97" s="8"/>
      <c r="D97" s="8"/>
      <c r="E97" s="58" t="s">
        <v>145</v>
      </c>
      <c r="F97" s="153" t="s">
        <v>352</v>
      </c>
      <c r="G97" s="58"/>
      <c r="H97" s="8"/>
      <c r="I97" s="58"/>
      <c r="J97" s="58"/>
      <c r="K97" s="8"/>
      <c r="L97" s="58"/>
      <c r="M97" s="58"/>
      <c r="N97" s="58"/>
      <c r="O97" s="8"/>
      <c r="P97" s="58"/>
      <c r="Q97" s="58"/>
      <c r="R97" s="58"/>
      <c r="S97" s="8"/>
      <c r="T97" s="58"/>
      <c r="U97" s="8"/>
      <c r="V97" s="58"/>
      <c r="W97" s="8"/>
      <c r="X97" s="8"/>
      <c r="Y97" s="8"/>
      <c r="Z97" s="8"/>
      <c r="AA97" s="8"/>
      <c r="AB97" s="8"/>
      <c r="AC97" s="8"/>
      <c r="AD97" s="8"/>
      <c r="AE97" s="8"/>
      <c r="AF97" s="8"/>
    </row>
    <row r="98" ht="16.5" customHeight="1">
      <c r="A98" s="154"/>
      <c r="B98" s="154"/>
      <c r="C98" s="154"/>
      <c r="D98" s="154"/>
      <c r="E98" s="154"/>
      <c r="F98" s="155"/>
      <c r="G98" s="11" t="s">
        <v>353</v>
      </c>
      <c r="H98" s="11">
        <v>27.0</v>
      </c>
      <c r="I98" s="11">
        <v>38.0</v>
      </c>
      <c r="J98" s="11">
        <v>24.0</v>
      </c>
      <c r="K98" s="154"/>
      <c r="L98" s="11">
        <v>32.0</v>
      </c>
      <c r="M98" s="11">
        <v>29.0</v>
      </c>
      <c r="N98" s="11">
        <v>22.5</v>
      </c>
      <c r="O98" s="154"/>
      <c r="P98" s="11">
        <v>25.0</v>
      </c>
      <c r="Q98" s="11">
        <v>33.0</v>
      </c>
      <c r="R98" s="11">
        <v>31.0</v>
      </c>
      <c r="S98" s="154"/>
      <c r="T98" s="11">
        <v>38.5</v>
      </c>
      <c r="U98" s="154"/>
      <c r="V98" s="11">
        <v>19.0</v>
      </c>
      <c r="W98" s="154"/>
      <c r="X98" s="154"/>
      <c r="Y98" s="154"/>
      <c r="Z98" s="154"/>
      <c r="AA98" s="154"/>
      <c r="AB98" s="154"/>
      <c r="AC98" s="154"/>
      <c r="AD98" s="154"/>
      <c r="AE98" s="154"/>
      <c r="AF98" s="154"/>
    </row>
    <row r="99" ht="16.5" customHeight="1">
      <c r="C99" s="21"/>
      <c r="D99" s="20"/>
      <c r="E99" s="21"/>
      <c r="G99" s="19" t="s">
        <v>354</v>
      </c>
      <c r="H99" s="146">
        <f>roundup(H98/38*23,0)</f>
        <v>17</v>
      </c>
      <c r="I99" s="146">
        <v>23.0</v>
      </c>
      <c r="J99" s="146">
        <v>15.0</v>
      </c>
      <c r="K99" s="156"/>
      <c r="L99" s="146">
        <v>20.0</v>
      </c>
      <c r="M99" s="146">
        <v>18.0</v>
      </c>
      <c r="N99" s="146">
        <v>14.0</v>
      </c>
      <c r="O99" s="156"/>
      <c r="P99" s="146">
        <v>16.0</v>
      </c>
      <c r="Q99" s="156">
        <f>roundup(Q98/38*23,0)</f>
        <v>20</v>
      </c>
      <c r="R99" s="146">
        <v>19.0</v>
      </c>
      <c r="S99" s="156"/>
      <c r="T99" s="146">
        <v>23.0</v>
      </c>
      <c r="V99" s="19" t="s">
        <v>355</v>
      </c>
      <c r="W99" s="19" t="s">
        <v>356</v>
      </c>
      <c r="X99" s="76">
        <f>sum(H99:T99)</f>
        <v>185</v>
      </c>
    </row>
    <row r="100">
      <c r="H100" s="19">
        <v>17.0</v>
      </c>
      <c r="Q100" s="19">
        <v>20.0</v>
      </c>
    </row>
    <row r="103" ht="16.5" customHeight="1">
      <c r="F103" s="19"/>
      <c r="L103" s="85"/>
      <c r="N103" s="85"/>
    </row>
    <row r="104" ht="16.5" customHeight="1">
      <c r="F104" s="19"/>
      <c r="L104" s="85"/>
      <c r="N104" s="85"/>
    </row>
    <row r="105" ht="16.5" customHeight="1">
      <c r="E105" s="47"/>
      <c r="P105" s="157"/>
      <c r="Q105" s="157"/>
      <c r="R105" s="157"/>
    </row>
    <row r="106">
      <c r="F106" s="158"/>
      <c r="G106" s="21"/>
    </row>
    <row r="107" ht="16.5" customHeight="1">
      <c r="C107" s="47"/>
      <c r="F107" s="19"/>
      <c r="T107" s="56"/>
      <c r="X107" s="73"/>
      <c r="Y107" s="73"/>
    </row>
    <row r="108" ht="16.5" customHeight="1">
      <c r="C108" s="47"/>
      <c r="F108" s="19"/>
      <c r="N108" s="56"/>
      <c r="T108" s="56"/>
      <c r="X108" s="73"/>
      <c r="Y108" s="73"/>
    </row>
    <row r="109">
      <c r="F109" s="93"/>
      <c r="J109" s="159"/>
      <c r="L109" s="56"/>
      <c r="T109" s="56"/>
    </row>
    <row r="110">
      <c r="F110" s="93"/>
      <c r="Q110" s="56"/>
      <c r="AB110" s="94" t="s">
        <v>166</v>
      </c>
      <c r="AC110" s="95" t="s">
        <v>167</v>
      </c>
      <c r="AD110" s="95" t="s">
        <v>168</v>
      </c>
      <c r="AE110" s="95" t="s">
        <v>169</v>
      </c>
      <c r="AF110" s="95" t="s">
        <v>170</v>
      </c>
    </row>
    <row r="111">
      <c r="F111" s="19"/>
      <c r="Z111" s="97">
        <v>1.0</v>
      </c>
      <c r="AA111" s="97" t="s">
        <v>357</v>
      </c>
      <c r="AB111" s="97" t="s">
        <v>172</v>
      </c>
      <c r="AC111" s="98" t="s">
        <v>58</v>
      </c>
      <c r="AD111" s="99"/>
      <c r="AE111" s="100" t="s">
        <v>173</v>
      </c>
      <c r="AF111" s="100" t="s">
        <v>174</v>
      </c>
    </row>
    <row r="112">
      <c r="Z112" s="97">
        <v>2.0</v>
      </c>
      <c r="AA112" s="160">
        <v>45680.0</v>
      </c>
      <c r="AB112" s="97" t="s">
        <v>180</v>
      </c>
      <c r="AC112" s="98" t="s">
        <v>175</v>
      </c>
      <c r="AD112" s="101"/>
      <c r="AE112" s="101"/>
      <c r="AF112" s="98" t="s">
        <v>181</v>
      </c>
    </row>
    <row r="113">
      <c r="Z113" s="97">
        <v>3.0</v>
      </c>
      <c r="AA113" s="160">
        <v>45700.0</v>
      </c>
      <c r="AB113" s="97" t="s">
        <v>184</v>
      </c>
      <c r="AC113" s="98" t="s">
        <v>185</v>
      </c>
      <c r="AD113" s="98" t="s">
        <v>186</v>
      </c>
      <c r="AE113" s="100" t="s">
        <v>187</v>
      </c>
      <c r="AF113" s="100" t="s">
        <v>188</v>
      </c>
    </row>
    <row r="114">
      <c r="Z114" s="161"/>
      <c r="AA114" s="160">
        <v>45703.0</v>
      </c>
      <c r="AB114" s="97" t="s">
        <v>191</v>
      </c>
      <c r="AC114" s="97" t="s">
        <v>192</v>
      </c>
      <c r="AD114" s="102"/>
      <c r="AE114" s="100" t="s">
        <v>193</v>
      </c>
      <c r="AF114" s="102"/>
    </row>
    <row r="115">
      <c r="Z115" s="102"/>
      <c r="AA115" s="162">
        <v>45698.0</v>
      </c>
      <c r="AB115" s="97" t="s">
        <v>195</v>
      </c>
      <c r="AC115" s="98" t="s">
        <v>196</v>
      </c>
      <c r="AD115" s="102"/>
      <c r="AE115" s="102"/>
      <c r="AF115" s="102"/>
    </row>
    <row r="116">
      <c r="Z116" s="97">
        <v>4.0</v>
      </c>
      <c r="AA116" s="162">
        <v>45694.0</v>
      </c>
      <c r="AB116" s="97" t="s">
        <v>199</v>
      </c>
      <c r="AC116" s="98" t="s">
        <v>200</v>
      </c>
      <c r="AD116" s="104"/>
      <c r="AE116" s="104"/>
      <c r="AF116" s="104"/>
    </row>
    <row r="117">
      <c r="Z117" s="104"/>
      <c r="AA117" s="97" t="s">
        <v>358</v>
      </c>
      <c r="AB117" s="97" t="s">
        <v>203</v>
      </c>
      <c r="AC117" s="98" t="s">
        <v>204</v>
      </c>
      <c r="AD117" s="104"/>
      <c r="AE117" s="104"/>
      <c r="AF117" s="104"/>
    </row>
    <row r="118">
      <c r="Z118" s="97">
        <v>5.0</v>
      </c>
      <c r="AA118" s="162">
        <v>45673.0</v>
      </c>
      <c r="AB118" s="97" t="s">
        <v>207</v>
      </c>
      <c r="AC118" s="98" t="s">
        <v>58</v>
      </c>
      <c r="AD118" s="102"/>
      <c r="AE118" s="100" t="s">
        <v>173</v>
      </c>
      <c r="AF118" s="102"/>
    </row>
    <row r="119">
      <c r="Z119" s="97">
        <v>6.0</v>
      </c>
      <c r="AA119" s="97" t="s">
        <v>359</v>
      </c>
      <c r="AB119" s="97" t="s">
        <v>210</v>
      </c>
      <c r="AC119" s="98" t="s">
        <v>58</v>
      </c>
      <c r="AD119" s="101"/>
      <c r="AE119" s="100" t="s">
        <v>211</v>
      </c>
      <c r="AF119" s="101"/>
    </row>
    <row r="120">
      <c r="Z120" s="97">
        <v>7.0</v>
      </c>
      <c r="AA120" s="97" t="s">
        <v>360</v>
      </c>
      <c r="AB120" s="97" t="s">
        <v>214</v>
      </c>
      <c r="AC120" s="98" t="s">
        <v>215</v>
      </c>
      <c r="AD120" s="97" t="s">
        <v>216</v>
      </c>
      <c r="AE120" s="99"/>
      <c r="AF120" s="99"/>
    </row>
    <row r="121">
      <c r="Z121" s="101"/>
      <c r="AA121" s="97" t="s">
        <v>217</v>
      </c>
      <c r="AB121" s="97" t="s">
        <v>218</v>
      </c>
      <c r="AC121" s="98" t="s">
        <v>83</v>
      </c>
      <c r="AD121" s="101"/>
      <c r="AE121" s="107" t="s">
        <v>219</v>
      </c>
      <c r="AF121" s="101"/>
    </row>
    <row r="122">
      <c r="Z122" s="97">
        <v>8.0</v>
      </c>
      <c r="AA122" s="97" t="s">
        <v>221</v>
      </c>
      <c r="AB122" s="97" t="s">
        <v>222</v>
      </c>
      <c r="AC122" s="98" t="s">
        <v>223</v>
      </c>
      <c r="AD122" s="101"/>
      <c r="AE122" s="101"/>
      <c r="AF122" s="101"/>
    </row>
    <row r="123">
      <c r="Z123" s="99"/>
      <c r="AA123" s="163">
        <v>45756.0</v>
      </c>
      <c r="AB123" s="97" t="s">
        <v>226</v>
      </c>
      <c r="AC123" s="164" t="s">
        <v>227</v>
      </c>
      <c r="AD123" s="99"/>
      <c r="AE123" s="100" t="s">
        <v>228</v>
      </c>
      <c r="AF123" s="99"/>
    </row>
    <row r="124">
      <c r="Z124" s="97">
        <v>9.0</v>
      </c>
      <c r="AA124" s="97" t="s">
        <v>230</v>
      </c>
      <c r="AB124" s="97" t="s">
        <v>199</v>
      </c>
      <c r="AC124" s="98" t="s">
        <v>231</v>
      </c>
      <c r="AD124" s="99"/>
      <c r="AE124" s="99"/>
      <c r="AF124" s="99"/>
    </row>
    <row r="125">
      <c r="Z125" s="97">
        <v>10.0</v>
      </c>
      <c r="AA125" s="97" t="s">
        <v>232</v>
      </c>
      <c r="AB125" s="97" t="s">
        <v>233</v>
      </c>
      <c r="AC125" s="98" t="s">
        <v>200</v>
      </c>
      <c r="AD125" s="101"/>
      <c r="AE125" s="101"/>
      <c r="AF125" s="101"/>
    </row>
  </sheetData>
  <mergeCells count="4">
    <mergeCell ref="C1:I1"/>
    <mergeCell ref="C2:I2"/>
    <mergeCell ref="C3:I3"/>
    <mergeCell ref="C4:I4"/>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38"/>
    <col customWidth="1" min="3" max="3" width="13.38"/>
    <col customWidth="1" hidden="1" min="4" max="4" width="10.13"/>
    <col customWidth="1" min="5" max="5" width="11.13"/>
    <col customWidth="1" min="6" max="6" width="16.13"/>
    <col customWidth="1" min="7" max="7" width="10.88"/>
    <col customWidth="1" min="8" max="8" width="10.63"/>
    <col customWidth="1" min="9" max="9" width="9.88"/>
    <col customWidth="1" min="10" max="10" width="10.88"/>
    <col customWidth="1" min="11" max="11" width="7.25"/>
    <col customWidth="1" min="12" max="12" width="13.13"/>
    <col customWidth="1" min="13" max="14" width="10.25"/>
    <col customWidth="1" min="15" max="15" width="7.38"/>
    <col customWidth="1" min="16" max="16" width="8.0"/>
    <col customWidth="1" min="17" max="18" width="8.25"/>
    <col customWidth="1" min="19" max="19" width="12.0"/>
    <col customWidth="1" min="20" max="20" width="13.38"/>
    <col customWidth="1" min="21" max="21" width="8.75"/>
    <col customWidth="1" min="22" max="22" width="11.63"/>
  </cols>
  <sheetData>
    <row r="1">
      <c r="C1" s="1" t="s">
        <v>0</v>
      </c>
    </row>
    <row r="2">
      <c r="C2" s="2" t="s">
        <v>1</v>
      </c>
    </row>
    <row r="3">
      <c r="C3" s="1" t="s">
        <v>2</v>
      </c>
    </row>
    <row r="4">
      <c r="A4" s="8"/>
      <c r="B4" s="8"/>
      <c r="C4" s="165" t="s">
        <v>361</v>
      </c>
      <c r="J4" s="8"/>
      <c r="K4" s="8"/>
      <c r="L4" s="8"/>
      <c r="M4" s="8"/>
      <c r="N4" s="8"/>
      <c r="O4" s="8"/>
      <c r="P4" s="8"/>
      <c r="Q4" s="8"/>
      <c r="R4" s="8"/>
      <c r="S4" s="8"/>
      <c r="T4" s="8"/>
      <c r="U4" s="8"/>
      <c r="V4" s="8"/>
      <c r="W4" s="8"/>
      <c r="X4" s="8"/>
      <c r="Y4" s="8"/>
      <c r="Z4" s="8"/>
      <c r="AA4" s="8"/>
      <c r="AB4" s="8"/>
      <c r="AC4" s="8"/>
    </row>
    <row r="5">
      <c r="A5" s="8"/>
      <c r="B5" s="8"/>
      <c r="C5" s="166" t="s">
        <v>362</v>
      </c>
      <c r="J5" s="8"/>
      <c r="K5" s="8"/>
      <c r="L5" s="8"/>
      <c r="M5" s="8"/>
      <c r="N5" s="8"/>
      <c r="O5" s="8"/>
      <c r="P5" s="8"/>
      <c r="Q5" s="8"/>
      <c r="R5" s="8"/>
      <c r="S5" s="8"/>
      <c r="T5" s="8"/>
      <c r="U5" s="8"/>
      <c r="V5" s="8"/>
      <c r="W5" s="8"/>
      <c r="X5" s="8"/>
      <c r="Y5" s="8"/>
      <c r="Z5" s="8"/>
      <c r="AA5" s="8"/>
      <c r="AB5" s="8"/>
      <c r="AC5" s="8"/>
    </row>
    <row r="6">
      <c r="A6" s="8"/>
      <c r="B6" s="8"/>
      <c r="C6" s="166" t="s">
        <v>363</v>
      </c>
      <c r="J6" s="8"/>
      <c r="K6" s="8"/>
      <c r="L6" s="8"/>
      <c r="M6" s="8"/>
      <c r="N6" s="8"/>
      <c r="O6" s="8"/>
      <c r="P6" s="8"/>
      <c r="Q6" s="8"/>
      <c r="R6" s="8"/>
      <c r="S6" s="8"/>
      <c r="T6" s="8"/>
      <c r="U6" s="8"/>
      <c r="V6" s="8"/>
      <c r="W6" s="8"/>
      <c r="X6" s="8"/>
      <c r="Y6" s="8"/>
      <c r="Z6" s="8"/>
      <c r="AA6" s="8"/>
      <c r="AB6" s="8"/>
      <c r="AC6" s="8"/>
    </row>
    <row r="7">
      <c r="C7" s="3" t="s">
        <v>364</v>
      </c>
    </row>
    <row r="8">
      <c r="C8" s="4" t="s">
        <v>4</v>
      </c>
      <c r="D8" s="5"/>
      <c r="E8" s="6"/>
      <c r="F8" s="6"/>
      <c r="G8" s="6"/>
      <c r="H8" s="6"/>
      <c r="I8" s="6"/>
    </row>
    <row r="9">
      <c r="C9" s="4" t="s">
        <v>5</v>
      </c>
      <c r="D9" s="5"/>
      <c r="E9" s="6"/>
      <c r="F9" s="6"/>
      <c r="G9" s="6"/>
      <c r="H9" s="6"/>
      <c r="I9" s="6"/>
      <c r="T9" s="7" t="s">
        <v>365</v>
      </c>
    </row>
    <row r="10">
      <c r="A10" s="8"/>
      <c r="B10" s="8"/>
      <c r="C10" s="9" t="s">
        <v>366</v>
      </c>
      <c r="D10" s="10"/>
      <c r="E10" s="9"/>
      <c r="F10" s="9"/>
      <c r="G10" s="9"/>
      <c r="H10" s="9"/>
      <c r="I10" s="9"/>
      <c r="J10" s="8"/>
      <c r="K10" s="8"/>
      <c r="L10" s="8"/>
      <c r="M10" s="8"/>
      <c r="N10" s="8"/>
      <c r="O10" s="8"/>
      <c r="P10" s="8"/>
      <c r="Q10" s="11" t="s">
        <v>7</v>
      </c>
      <c r="R10" s="11"/>
      <c r="S10" s="12" t="s">
        <v>8</v>
      </c>
      <c r="T10" s="7" t="s">
        <v>9</v>
      </c>
      <c r="U10" s="13" t="s">
        <v>10</v>
      </c>
      <c r="V10" s="14" t="s">
        <v>11</v>
      </c>
      <c r="W10" s="8"/>
      <c r="X10" s="8"/>
      <c r="Y10" s="8"/>
      <c r="Z10" s="8"/>
      <c r="AA10" s="8"/>
      <c r="AB10" s="8"/>
      <c r="AC10" s="8"/>
    </row>
    <row r="11">
      <c r="C11" s="167" t="s">
        <v>13</v>
      </c>
      <c r="D11" s="5"/>
      <c r="E11" s="6"/>
      <c r="F11" s="6"/>
      <c r="G11" s="6"/>
      <c r="H11" s="6"/>
      <c r="I11" s="6"/>
      <c r="Q11" s="11">
        <v>5.0</v>
      </c>
      <c r="R11" s="11"/>
      <c r="S11" s="12">
        <v>4.0</v>
      </c>
      <c r="T11" s="7">
        <v>3.0</v>
      </c>
      <c r="U11" s="13">
        <v>2.0</v>
      </c>
      <c r="V11" s="14">
        <v>1.0</v>
      </c>
    </row>
    <row r="12">
      <c r="C12" s="19"/>
      <c r="E12" s="19"/>
      <c r="F12" s="19"/>
      <c r="G12" s="19"/>
      <c r="H12" s="19"/>
      <c r="I12" s="19"/>
    </row>
    <row r="13">
      <c r="C13" s="19"/>
      <c r="E13" s="19"/>
      <c r="F13" s="19"/>
      <c r="G13" s="19"/>
      <c r="H13" s="19"/>
      <c r="I13" s="19"/>
    </row>
    <row r="14" hidden="1">
      <c r="A14" s="20"/>
      <c r="B14" s="20"/>
      <c r="C14" s="21"/>
      <c r="D14" s="20"/>
      <c r="E14" s="21"/>
      <c r="F14" s="21"/>
      <c r="G14" s="21"/>
      <c r="H14" s="21"/>
      <c r="I14" s="21" t="s">
        <v>15</v>
      </c>
      <c r="J14" s="20"/>
      <c r="K14" s="20"/>
      <c r="L14" s="20"/>
      <c r="M14" s="20"/>
      <c r="N14" s="20"/>
      <c r="O14" s="20"/>
      <c r="P14" s="20"/>
      <c r="Q14" s="20"/>
      <c r="R14" s="20"/>
      <c r="S14" s="20"/>
      <c r="T14" s="20"/>
      <c r="U14" s="20"/>
      <c r="V14" s="20"/>
      <c r="W14" s="20"/>
      <c r="X14" s="20"/>
      <c r="Y14" s="20"/>
      <c r="Z14" s="20"/>
      <c r="AA14" s="20"/>
      <c r="AB14" s="20"/>
      <c r="AC14" s="20"/>
    </row>
    <row r="15" ht="26.25" hidden="1" customHeight="1">
      <c r="A15" s="20"/>
      <c r="B15" s="20"/>
      <c r="C15" s="21" t="s">
        <v>16</v>
      </c>
      <c r="D15" s="20"/>
      <c r="E15" s="21"/>
      <c r="F15" s="21" t="s">
        <v>17</v>
      </c>
      <c r="G15" s="21" t="s">
        <v>18</v>
      </c>
      <c r="H15" s="21" t="s">
        <v>19</v>
      </c>
      <c r="I15" s="21" t="s">
        <v>20</v>
      </c>
      <c r="J15" s="21" t="s">
        <v>21</v>
      </c>
      <c r="K15" s="21" t="s">
        <v>22</v>
      </c>
      <c r="L15" s="21" t="s">
        <v>23</v>
      </c>
      <c r="M15" s="21" t="s">
        <v>24</v>
      </c>
      <c r="N15" s="21"/>
      <c r="O15" s="21" t="s">
        <v>25</v>
      </c>
      <c r="P15" s="21" t="s">
        <v>25</v>
      </c>
      <c r="Q15" s="21" t="s">
        <v>26</v>
      </c>
      <c r="R15" s="21"/>
      <c r="S15" s="21" t="s">
        <v>27</v>
      </c>
      <c r="T15" s="21" t="s">
        <v>28</v>
      </c>
      <c r="U15" s="20"/>
      <c r="V15" s="20"/>
      <c r="W15" s="20"/>
      <c r="X15" s="20"/>
      <c r="Y15" s="20"/>
      <c r="Z15" s="20"/>
      <c r="AA15" s="20"/>
      <c r="AB15" s="20"/>
      <c r="AC15" s="20"/>
    </row>
    <row r="16" hidden="1">
      <c r="B16" s="22">
        <v>1.0</v>
      </c>
      <c r="C16" s="23" t="s">
        <v>29</v>
      </c>
      <c r="D16" s="22">
        <v>5.6676719E7</v>
      </c>
      <c r="E16" s="22"/>
      <c r="F16" s="22">
        <v>3.0</v>
      </c>
      <c r="G16" s="23" t="s">
        <v>30</v>
      </c>
      <c r="H16" s="23" t="s">
        <v>31</v>
      </c>
      <c r="I16" s="19">
        <v>3.0</v>
      </c>
    </row>
    <row r="17" hidden="1">
      <c r="B17" s="24">
        <v>2.0</v>
      </c>
      <c r="C17" s="25" t="s">
        <v>32</v>
      </c>
      <c r="D17" s="24">
        <v>5.7196598E7</v>
      </c>
      <c r="E17" s="24"/>
      <c r="F17" s="24">
        <v>8.0</v>
      </c>
      <c r="G17" s="25" t="s">
        <v>33</v>
      </c>
      <c r="H17" s="25" t="s">
        <v>31</v>
      </c>
      <c r="I17" s="19">
        <v>3.0</v>
      </c>
    </row>
    <row r="18" hidden="1">
      <c r="B18" s="24">
        <v>3.0</v>
      </c>
      <c r="C18" s="25" t="s">
        <v>34</v>
      </c>
      <c r="D18" s="24">
        <v>5.7848199E7</v>
      </c>
      <c r="E18" s="24"/>
      <c r="F18" s="24">
        <v>6.0</v>
      </c>
      <c r="G18" s="25" t="s">
        <v>35</v>
      </c>
      <c r="H18" s="25" t="s">
        <v>31</v>
      </c>
      <c r="I18" s="19">
        <v>3.0</v>
      </c>
    </row>
    <row r="19" hidden="1">
      <c r="B19" s="26"/>
      <c r="C19" s="26"/>
      <c r="D19" s="26"/>
      <c r="E19" s="26"/>
      <c r="F19" s="26"/>
      <c r="G19" s="26"/>
      <c r="H19" s="26"/>
    </row>
    <row r="20" hidden="1">
      <c r="B20" s="26"/>
      <c r="C20" s="27" t="s">
        <v>36</v>
      </c>
      <c r="D20" s="26"/>
      <c r="E20" s="26"/>
      <c r="F20" s="26"/>
      <c r="G20" s="26"/>
      <c r="H20" s="26"/>
    </row>
    <row r="21" hidden="1">
      <c r="B21" s="24">
        <v>1.0</v>
      </c>
      <c r="C21" s="25" t="s">
        <v>37</v>
      </c>
      <c r="D21" s="24">
        <v>5.784216E7</v>
      </c>
      <c r="E21" s="24"/>
      <c r="F21" s="24">
        <v>10.0</v>
      </c>
      <c r="G21" s="25" t="s">
        <v>38</v>
      </c>
      <c r="H21" s="25" t="s">
        <v>39</v>
      </c>
      <c r="I21" s="19">
        <v>3.0</v>
      </c>
    </row>
    <row r="22" hidden="1">
      <c r="B22" s="24">
        <v>2.0</v>
      </c>
      <c r="C22" s="25" t="s">
        <v>40</v>
      </c>
      <c r="D22" s="24">
        <v>5.782755E7</v>
      </c>
      <c r="E22" s="24"/>
      <c r="F22" s="24">
        <v>7.0</v>
      </c>
      <c r="G22" s="25" t="s">
        <v>41</v>
      </c>
      <c r="H22" s="25" t="s">
        <v>39</v>
      </c>
      <c r="I22" s="19">
        <v>3.0</v>
      </c>
    </row>
    <row r="23" hidden="1">
      <c r="B23" s="26"/>
      <c r="C23" s="26"/>
      <c r="D23" s="26"/>
      <c r="E23" s="26"/>
      <c r="F23" s="26"/>
      <c r="G23" s="26"/>
      <c r="H23" s="26"/>
    </row>
    <row r="24" hidden="1">
      <c r="B24" s="26"/>
      <c r="C24" s="27" t="s">
        <v>42</v>
      </c>
      <c r="D24" s="26"/>
      <c r="E24" s="26"/>
      <c r="F24" s="26"/>
      <c r="G24" s="26"/>
      <c r="H24" s="26"/>
    </row>
    <row r="25" hidden="1">
      <c r="B25" s="24">
        <v>1.0</v>
      </c>
      <c r="C25" s="28" t="s">
        <v>43</v>
      </c>
      <c r="D25" s="24">
        <v>5.7254164E7</v>
      </c>
      <c r="E25" s="24"/>
      <c r="F25" s="24">
        <v>8.0</v>
      </c>
      <c r="G25" s="25" t="s">
        <v>44</v>
      </c>
      <c r="H25" s="25" t="s">
        <v>45</v>
      </c>
      <c r="I25" s="19">
        <v>3.0</v>
      </c>
    </row>
    <row r="26" hidden="1">
      <c r="B26" s="24">
        <v>2.0</v>
      </c>
      <c r="C26" s="28" t="s">
        <v>46</v>
      </c>
      <c r="D26" s="24">
        <v>5.7213538E7</v>
      </c>
      <c r="E26" s="24"/>
      <c r="F26" s="24">
        <v>1.0</v>
      </c>
      <c r="G26" s="25" t="s">
        <v>47</v>
      </c>
      <c r="H26" s="25" t="s">
        <v>45</v>
      </c>
      <c r="I26" s="19">
        <v>4.0</v>
      </c>
    </row>
    <row r="27" hidden="1">
      <c r="B27" s="26"/>
      <c r="C27" s="26"/>
      <c r="D27" s="26"/>
      <c r="E27" s="26"/>
      <c r="F27" s="26"/>
      <c r="G27" s="26"/>
      <c r="H27" s="26"/>
    </row>
    <row r="28" hidden="1">
      <c r="B28" s="26"/>
      <c r="C28" s="27" t="s">
        <v>48</v>
      </c>
      <c r="D28" s="26"/>
      <c r="E28" s="26"/>
      <c r="F28" s="26"/>
      <c r="G28" s="26"/>
      <c r="H28" s="26"/>
    </row>
    <row r="29" hidden="1">
      <c r="B29" s="24">
        <v>1.0</v>
      </c>
      <c r="C29" s="25" t="s">
        <v>49</v>
      </c>
      <c r="D29" s="24">
        <v>5.7856102E7</v>
      </c>
      <c r="E29" s="24"/>
      <c r="F29" s="24">
        <v>2.0</v>
      </c>
      <c r="G29" s="25" t="s">
        <v>50</v>
      </c>
      <c r="H29" s="25" t="s">
        <v>48</v>
      </c>
      <c r="I29" s="19">
        <v>3.0</v>
      </c>
    </row>
    <row r="30" hidden="1">
      <c r="B30" s="26"/>
      <c r="C30" s="26"/>
      <c r="D30" s="26"/>
      <c r="E30" s="26"/>
      <c r="F30" s="26"/>
      <c r="G30" s="26"/>
      <c r="H30" s="26"/>
    </row>
    <row r="31" hidden="1">
      <c r="B31" s="26"/>
      <c r="C31" s="27" t="s">
        <v>51</v>
      </c>
      <c r="D31" s="26"/>
      <c r="E31" s="26"/>
      <c r="F31" s="26"/>
      <c r="G31" s="26"/>
      <c r="H31" s="26"/>
    </row>
    <row r="32" hidden="1">
      <c r="B32" s="24">
        <v>1.0</v>
      </c>
      <c r="C32" s="25" t="s">
        <v>52</v>
      </c>
      <c r="D32" s="24">
        <v>5.7853924E7</v>
      </c>
      <c r="E32" s="24"/>
      <c r="F32" s="24">
        <v>5.0</v>
      </c>
      <c r="G32" s="25" t="s">
        <v>53</v>
      </c>
      <c r="H32" s="25" t="s">
        <v>54</v>
      </c>
      <c r="I32" s="19">
        <v>3.0</v>
      </c>
    </row>
    <row r="33">
      <c r="G33" s="21" t="s">
        <v>55</v>
      </c>
      <c r="H33" s="21"/>
      <c r="I33" s="20"/>
      <c r="J33" s="20"/>
      <c r="K33" s="20"/>
      <c r="L33" s="21"/>
      <c r="M33" s="20"/>
      <c r="N33" s="20"/>
      <c r="P33" s="21"/>
      <c r="Q33" s="20"/>
      <c r="S33" s="20"/>
      <c r="T33" s="21"/>
      <c r="U33" s="20"/>
      <c r="V33" s="21"/>
    </row>
    <row r="34">
      <c r="E34" s="20"/>
      <c r="F34" s="20"/>
      <c r="G34" s="20"/>
      <c r="H34" s="22">
        <v>1.0</v>
      </c>
      <c r="I34" s="24">
        <v>2.0</v>
      </c>
      <c r="J34" s="24">
        <v>3.0</v>
      </c>
      <c r="K34" s="26"/>
      <c r="L34" s="24">
        <v>1.0</v>
      </c>
      <c r="M34" s="24">
        <v>2.0</v>
      </c>
      <c r="N34" s="24"/>
      <c r="O34" s="26"/>
      <c r="P34" s="24">
        <v>1.0</v>
      </c>
      <c r="Q34" s="24">
        <v>2.0</v>
      </c>
      <c r="R34" s="24"/>
      <c r="S34" s="26"/>
      <c r="T34" s="24">
        <v>1.0</v>
      </c>
      <c r="U34" s="26"/>
      <c r="V34" s="24">
        <v>1.0</v>
      </c>
    </row>
    <row r="35">
      <c r="E35" s="21"/>
      <c r="F35" s="21"/>
      <c r="G35" s="21"/>
      <c r="H35" s="31" t="s">
        <v>61</v>
      </c>
      <c r="I35" s="25"/>
      <c r="J35" s="25"/>
      <c r="K35" s="26"/>
      <c r="L35" s="32" t="s">
        <v>36</v>
      </c>
      <c r="M35" s="25"/>
      <c r="N35" s="25"/>
      <c r="O35" s="26"/>
      <c r="P35" s="32" t="s">
        <v>42</v>
      </c>
      <c r="Q35" s="28"/>
      <c r="R35" s="28"/>
      <c r="S35" s="26"/>
      <c r="T35" s="32" t="s">
        <v>48</v>
      </c>
      <c r="U35" s="26"/>
      <c r="V35" s="32" t="s">
        <v>51</v>
      </c>
      <c r="X35" s="21" t="s">
        <v>367</v>
      </c>
    </row>
    <row r="36">
      <c r="E36" s="21"/>
      <c r="F36" s="21"/>
      <c r="G36" s="21" t="s">
        <v>16</v>
      </c>
      <c r="H36" s="23"/>
      <c r="I36" s="25"/>
      <c r="J36" s="168"/>
      <c r="K36" s="26"/>
      <c r="L36" s="25"/>
      <c r="M36" s="25"/>
      <c r="N36" s="25"/>
      <c r="O36" s="26"/>
      <c r="P36" s="28"/>
      <c r="Q36" s="28"/>
      <c r="R36" s="28"/>
      <c r="S36" s="26"/>
      <c r="T36" s="25"/>
      <c r="U36" s="26"/>
      <c r="V36" s="25"/>
    </row>
    <row r="37">
      <c r="E37" s="20"/>
      <c r="F37" s="20"/>
      <c r="G37" s="21" t="s">
        <v>368</v>
      </c>
      <c r="H37" s="22"/>
      <c r="I37" s="24"/>
      <c r="J37" s="24"/>
      <c r="K37" s="26"/>
      <c r="L37" s="24"/>
      <c r="M37" s="24"/>
      <c r="N37" s="24"/>
      <c r="O37" s="26"/>
      <c r="P37" s="24"/>
      <c r="Q37" s="24"/>
      <c r="R37" s="24"/>
      <c r="S37" s="26"/>
      <c r="T37" s="24"/>
      <c r="U37" s="26"/>
      <c r="V37" s="24"/>
    </row>
    <row r="38">
      <c r="E38" s="21"/>
      <c r="F38" s="21"/>
      <c r="G38" s="21"/>
      <c r="H38" s="22"/>
      <c r="I38" s="24"/>
      <c r="J38" s="24"/>
      <c r="K38" s="26"/>
      <c r="L38" s="24"/>
      <c r="M38" s="24"/>
      <c r="N38" s="24"/>
      <c r="O38" s="26"/>
      <c r="P38" s="24"/>
      <c r="Q38" s="24"/>
      <c r="R38" s="24"/>
      <c r="S38" s="26"/>
      <c r="T38" s="24"/>
      <c r="U38" s="26"/>
      <c r="V38" s="24"/>
    </row>
    <row r="39">
      <c r="E39" s="21" t="s">
        <v>369</v>
      </c>
      <c r="F39" s="21"/>
      <c r="G39" s="21" t="s">
        <v>73</v>
      </c>
      <c r="H39" s="23"/>
      <c r="I39" s="25"/>
      <c r="J39" s="25"/>
      <c r="K39" s="26"/>
      <c r="L39" s="25"/>
      <c r="M39" s="25"/>
      <c r="N39" s="25"/>
      <c r="O39" s="26"/>
      <c r="P39" s="25"/>
      <c r="Q39" s="25"/>
      <c r="R39" s="25"/>
      <c r="S39" s="26"/>
      <c r="T39" s="25"/>
      <c r="U39" s="26"/>
      <c r="V39" s="25"/>
    </row>
    <row r="40" ht="1.5" customHeight="1">
      <c r="E40" s="21" t="s">
        <v>55</v>
      </c>
      <c r="F40" s="21" t="s">
        <v>15</v>
      </c>
      <c r="G40" s="21" t="s">
        <v>19</v>
      </c>
      <c r="H40" s="23" t="s">
        <v>31</v>
      </c>
      <c r="I40" s="25" t="s">
        <v>31</v>
      </c>
      <c r="J40" s="25" t="s">
        <v>31</v>
      </c>
      <c r="K40" s="26"/>
      <c r="L40" s="25" t="s">
        <v>39</v>
      </c>
      <c r="M40" s="25" t="s">
        <v>39</v>
      </c>
      <c r="N40" s="25"/>
      <c r="O40" s="26"/>
      <c r="P40" s="25" t="s">
        <v>45</v>
      </c>
      <c r="Q40" s="25" t="s">
        <v>45</v>
      </c>
      <c r="R40" s="25"/>
      <c r="S40" s="26"/>
      <c r="T40" s="25" t="s">
        <v>48</v>
      </c>
      <c r="U40" s="26"/>
      <c r="V40" s="25" t="s">
        <v>54</v>
      </c>
    </row>
    <row r="41" ht="20.25" customHeight="1">
      <c r="C41" s="47" t="s">
        <v>82</v>
      </c>
      <c r="E41" s="19" t="s">
        <v>370</v>
      </c>
      <c r="F41" s="19" t="s">
        <v>20</v>
      </c>
      <c r="H41" s="7">
        <v>3.0</v>
      </c>
      <c r="I41" s="7">
        <v>3.0</v>
      </c>
      <c r="J41" s="7">
        <v>3.0</v>
      </c>
      <c r="L41" s="7">
        <v>3.0</v>
      </c>
      <c r="M41" s="7">
        <v>3.0</v>
      </c>
      <c r="N41" s="7"/>
      <c r="P41" s="7">
        <v>3.0</v>
      </c>
      <c r="Q41" s="12">
        <v>3.5</v>
      </c>
      <c r="R41" s="12"/>
      <c r="T41" s="7">
        <v>3.0</v>
      </c>
      <c r="V41" s="7" t="s">
        <v>371</v>
      </c>
      <c r="X41" s="19" t="s">
        <v>372</v>
      </c>
    </row>
    <row r="42" ht="17.25" customHeight="1">
      <c r="E42" s="19" t="s">
        <v>370</v>
      </c>
      <c r="F42" s="19" t="s">
        <v>373</v>
      </c>
      <c r="H42" s="7">
        <v>3.0</v>
      </c>
      <c r="I42" s="7">
        <v>3.0</v>
      </c>
      <c r="J42" s="7">
        <v>3.0</v>
      </c>
      <c r="L42" s="7">
        <v>3.0</v>
      </c>
      <c r="M42" s="7">
        <v>3.0</v>
      </c>
      <c r="N42" s="7"/>
      <c r="P42" s="7">
        <v>3.0</v>
      </c>
      <c r="Q42" s="7">
        <v>3.0</v>
      </c>
      <c r="R42" s="7"/>
      <c r="T42" s="13">
        <v>2.0</v>
      </c>
      <c r="V42" s="7" t="s">
        <v>371</v>
      </c>
    </row>
    <row r="43">
      <c r="E43" s="19" t="s">
        <v>370</v>
      </c>
      <c r="F43" s="19" t="s">
        <v>374</v>
      </c>
      <c r="H43" s="7">
        <v>3.0</v>
      </c>
      <c r="I43" s="7">
        <v>3.0</v>
      </c>
      <c r="J43" s="7">
        <v>3.0</v>
      </c>
      <c r="L43" s="7">
        <v>3.0</v>
      </c>
      <c r="M43" s="7">
        <v>3.0</v>
      </c>
      <c r="N43" s="7"/>
      <c r="P43" s="13">
        <v>2.0</v>
      </c>
      <c r="Q43" s="7">
        <v>3.0</v>
      </c>
      <c r="R43" s="7"/>
      <c r="T43" s="13">
        <v>2.0</v>
      </c>
      <c r="V43" s="13" t="s">
        <v>375</v>
      </c>
    </row>
    <row r="44" ht="12.75" customHeight="1">
      <c r="E44" s="19" t="s">
        <v>370</v>
      </c>
      <c r="F44" s="19" t="s">
        <v>26</v>
      </c>
      <c r="V44" s="13" t="s">
        <v>376</v>
      </c>
      <c r="X44" s="19" t="s">
        <v>377</v>
      </c>
    </row>
    <row r="45" ht="12.0" customHeight="1">
      <c r="E45" s="19" t="s">
        <v>370</v>
      </c>
      <c r="F45" s="19" t="s">
        <v>27</v>
      </c>
      <c r="V45" s="7" t="s">
        <v>378</v>
      </c>
    </row>
    <row r="46" ht="15.0" customHeight="1">
      <c r="E46" s="19" t="s">
        <v>370</v>
      </c>
      <c r="F46" s="19" t="s">
        <v>28</v>
      </c>
      <c r="T46" s="13" t="s">
        <v>376</v>
      </c>
    </row>
    <row r="47">
      <c r="E47" s="19" t="s">
        <v>370</v>
      </c>
      <c r="F47" s="19" t="s">
        <v>379</v>
      </c>
      <c r="Q47" s="12" t="s">
        <v>380</v>
      </c>
      <c r="R47" s="12"/>
      <c r="X47" s="19" t="s">
        <v>381</v>
      </c>
    </row>
    <row r="48">
      <c r="E48" s="19" t="s">
        <v>370</v>
      </c>
      <c r="F48" s="19" t="s">
        <v>382</v>
      </c>
      <c r="I48" s="7" t="s">
        <v>383</v>
      </c>
      <c r="J48" s="7" t="s">
        <v>384</v>
      </c>
      <c r="P48" s="7" t="s">
        <v>385</v>
      </c>
      <c r="V48" s="7" t="s">
        <v>386</v>
      </c>
      <c r="X48" s="19" t="s">
        <v>387</v>
      </c>
    </row>
    <row r="49">
      <c r="E49" s="19" t="s">
        <v>370</v>
      </c>
      <c r="F49" s="19" t="s">
        <v>388</v>
      </c>
      <c r="I49" s="7" t="s">
        <v>389</v>
      </c>
      <c r="M49" s="7" t="s">
        <v>390</v>
      </c>
      <c r="N49" s="7"/>
    </row>
    <row r="50">
      <c r="A50" s="8"/>
      <c r="B50" s="8"/>
      <c r="C50" s="8"/>
      <c r="D50" s="8"/>
      <c r="E50" s="19" t="s">
        <v>370</v>
      </c>
      <c r="F50" s="169" t="s">
        <v>391</v>
      </c>
      <c r="G50" s="8"/>
      <c r="H50" s="8"/>
      <c r="I50" s="8"/>
      <c r="J50" s="8"/>
      <c r="K50" s="8"/>
      <c r="L50" s="8"/>
      <c r="M50" s="8"/>
      <c r="N50" s="8"/>
      <c r="O50" s="8"/>
      <c r="P50" s="8"/>
      <c r="Q50" s="8"/>
      <c r="R50" s="8"/>
      <c r="S50" s="8"/>
      <c r="T50" s="8"/>
      <c r="U50" s="8"/>
      <c r="V50" s="8"/>
      <c r="W50" s="8"/>
      <c r="X50" s="8"/>
      <c r="Y50" s="8"/>
      <c r="Z50" s="8"/>
      <c r="AA50" s="8"/>
      <c r="AB50" s="8"/>
      <c r="AC50" s="8"/>
    </row>
    <row r="51">
      <c r="E51" s="19" t="s">
        <v>370</v>
      </c>
      <c r="F51" s="19" t="s">
        <v>392</v>
      </c>
      <c r="Q51" s="7" t="s">
        <v>393</v>
      </c>
      <c r="R51" s="7"/>
    </row>
    <row r="52">
      <c r="E52" s="47"/>
      <c r="F52" s="19"/>
    </row>
    <row r="53">
      <c r="C53" s="47" t="s">
        <v>127</v>
      </c>
      <c r="E53" s="47" t="s">
        <v>127</v>
      </c>
      <c r="F53" s="19"/>
    </row>
    <row r="54">
      <c r="E54" s="19" t="s">
        <v>394</v>
      </c>
      <c r="H54" s="7" t="s">
        <v>395</v>
      </c>
      <c r="I54" s="11" t="s">
        <v>396</v>
      </c>
      <c r="J54" s="7" t="s">
        <v>397</v>
      </c>
      <c r="L54" s="14" t="s">
        <v>398</v>
      </c>
      <c r="M54" s="12" t="s">
        <v>399</v>
      </c>
      <c r="N54" s="12"/>
      <c r="P54" s="14">
        <v>0.0</v>
      </c>
      <c r="Q54" s="14">
        <v>0.0</v>
      </c>
      <c r="R54" s="14"/>
      <c r="T54" s="7" t="s">
        <v>400</v>
      </c>
      <c r="V54" s="14" t="s">
        <v>401</v>
      </c>
    </row>
    <row r="55">
      <c r="E55" s="19" t="s">
        <v>394</v>
      </c>
      <c r="H55" s="12" t="s">
        <v>399</v>
      </c>
      <c r="I55" s="7" t="s">
        <v>402</v>
      </c>
      <c r="J55" s="12" t="s">
        <v>399</v>
      </c>
      <c r="L55" s="14" t="s">
        <v>403</v>
      </c>
      <c r="M55" s="12" t="s">
        <v>404</v>
      </c>
      <c r="N55" s="12"/>
      <c r="P55" s="12" t="s">
        <v>405</v>
      </c>
      <c r="Q55" s="11" t="s">
        <v>406</v>
      </c>
      <c r="R55" s="11"/>
      <c r="T55" s="86" t="s">
        <v>407</v>
      </c>
      <c r="V55" s="7" t="s">
        <v>408</v>
      </c>
    </row>
    <row r="56" ht="33.75" customHeight="1">
      <c r="E56" s="19" t="s">
        <v>394</v>
      </c>
      <c r="H56" s="14" t="s">
        <v>409</v>
      </c>
      <c r="I56" s="7" t="s">
        <v>410</v>
      </c>
      <c r="J56" s="14" t="s">
        <v>411</v>
      </c>
      <c r="L56" s="13" t="s">
        <v>412</v>
      </c>
      <c r="M56" s="13" t="s">
        <v>412</v>
      </c>
      <c r="N56" s="13"/>
      <c r="P56" s="11" t="s">
        <v>413</v>
      </c>
      <c r="Q56" s="13" t="s">
        <v>414</v>
      </c>
      <c r="R56" s="13"/>
      <c r="T56" s="14" t="s">
        <v>415</v>
      </c>
      <c r="V56" s="12" t="s">
        <v>416</v>
      </c>
    </row>
    <row r="57" ht="23.25" customHeight="1">
      <c r="E57" s="19" t="s">
        <v>394</v>
      </c>
      <c r="H57" s="7" t="s">
        <v>395</v>
      </c>
      <c r="I57" s="19"/>
      <c r="J57" s="7" t="s">
        <v>395</v>
      </c>
      <c r="L57" s="7" t="s">
        <v>395</v>
      </c>
      <c r="M57" s="19"/>
      <c r="N57" s="19"/>
      <c r="P57" s="19"/>
      <c r="Q57" s="19"/>
      <c r="R57" s="19"/>
      <c r="T57" s="7" t="s">
        <v>395</v>
      </c>
      <c r="V57" s="19"/>
    </row>
    <row r="58" ht="23.25" customHeight="1">
      <c r="E58" s="19" t="s">
        <v>394</v>
      </c>
      <c r="H58" s="13" t="s">
        <v>417</v>
      </c>
      <c r="I58" s="7" t="s">
        <v>418</v>
      </c>
      <c r="J58" s="11" t="s">
        <v>419</v>
      </c>
      <c r="L58" s="13" t="s">
        <v>417</v>
      </c>
      <c r="M58" s="13" t="s">
        <v>417</v>
      </c>
      <c r="N58" s="13"/>
      <c r="P58" s="13" t="s">
        <v>420</v>
      </c>
      <c r="Q58" s="12" t="s">
        <v>421</v>
      </c>
      <c r="R58" s="12"/>
      <c r="T58" s="7" t="s">
        <v>422</v>
      </c>
      <c r="V58" s="14" t="s">
        <v>423</v>
      </c>
    </row>
    <row r="59">
      <c r="E59" s="19" t="s">
        <v>394</v>
      </c>
      <c r="H59" s="19" t="s">
        <v>424</v>
      </c>
      <c r="I59" s="19" t="s">
        <v>424</v>
      </c>
      <c r="J59" s="19" t="s">
        <v>425</v>
      </c>
      <c r="L59" s="19" t="s">
        <v>424</v>
      </c>
      <c r="M59" s="19" t="s">
        <v>424</v>
      </c>
      <c r="N59" s="19"/>
      <c r="P59" s="19" t="s">
        <v>424</v>
      </c>
      <c r="Q59" s="19" t="s">
        <v>425</v>
      </c>
      <c r="R59" s="19"/>
      <c r="T59" s="19" t="s">
        <v>426</v>
      </c>
    </row>
    <row r="60">
      <c r="C60" s="47" t="s">
        <v>427</v>
      </c>
      <c r="D60" s="170"/>
      <c r="E60" s="47" t="s">
        <v>427</v>
      </c>
    </row>
    <row r="61">
      <c r="E61" s="19" t="s">
        <v>394</v>
      </c>
      <c r="F61" s="68"/>
      <c r="H61" s="12" t="s">
        <v>428</v>
      </c>
      <c r="I61" s="19"/>
      <c r="J61" s="19"/>
      <c r="L61" s="19"/>
      <c r="M61" s="7" t="s">
        <v>429</v>
      </c>
      <c r="N61" s="7"/>
      <c r="P61" s="19"/>
      <c r="Q61" s="7" t="s">
        <v>430</v>
      </c>
      <c r="R61" s="7"/>
      <c r="T61" s="19" t="s">
        <v>431</v>
      </c>
      <c r="V61" s="19"/>
    </row>
    <row r="62">
      <c r="E62" s="19" t="s">
        <v>394</v>
      </c>
      <c r="F62" s="68"/>
      <c r="G62" s="21"/>
      <c r="P62" s="7" t="s">
        <v>430</v>
      </c>
      <c r="T62" s="12" t="s">
        <v>432</v>
      </c>
      <c r="X62" s="19" t="s">
        <v>433</v>
      </c>
    </row>
    <row r="63">
      <c r="E63" s="19" t="s">
        <v>394</v>
      </c>
      <c r="F63" s="135"/>
      <c r="G63" s="21"/>
      <c r="H63" s="12" t="s">
        <v>434</v>
      </c>
      <c r="J63" s="7" t="s">
        <v>435</v>
      </c>
      <c r="T63" s="7" t="s">
        <v>436</v>
      </c>
    </row>
    <row r="64">
      <c r="C64" s="103"/>
      <c r="D64" s="103"/>
      <c r="E64" s="19" t="s">
        <v>394</v>
      </c>
      <c r="F64" s="171"/>
      <c r="G64" s="172"/>
      <c r="H64" s="103"/>
      <c r="I64" s="103"/>
      <c r="J64" s="11" t="s">
        <v>437</v>
      </c>
      <c r="K64" s="103"/>
      <c r="L64" s="103"/>
      <c r="M64" s="103"/>
      <c r="N64" s="103"/>
      <c r="O64" s="103"/>
      <c r="P64" s="103"/>
      <c r="Q64" s="103"/>
      <c r="R64" s="103"/>
      <c r="S64" s="103"/>
      <c r="T64" s="7" t="s">
        <v>436</v>
      </c>
      <c r="U64" s="103"/>
      <c r="V64" s="103"/>
      <c r="W64" s="103"/>
      <c r="X64" s="103"/>
    </row>
    <row r="65">
      <c r="E65" s="19" t="s">
        <v>394</v>
      </c>
      <c r="F65" s="135"/>
      <c r="G65" s="21"/>
      <c r="J65" s="12" t="s">
        <v>438</v>
      </c>
      <c r="T65" s="19" t="s">
        <v>431</v>
      </c>
    </row>
    <row r="66">
      <c r="E66" s="19" t="s">
        <v>394</v>
      </c>
      <c r="F66" s="173"/>
      <c r="G66" s="21"/>
      <c r="I66" s="11" t="s">
        <v>439</v>
      </c>
      <c r="J66" s="7" t="s">
        <v>435</v>
      </c>
      <c r="T66" s="7" t="s">
        <v>436</v>
      </c>
    </row>
    <row r="67">
      <c r="E67" s="19" t="s">
        <v>394</v>
      </c>
      <c r="F67" s="135"/>
      <c r="G67" s="21"/>
      <c r="I67" s="12" t="s">
        <v>434</v>
      </c>
      <c r="J67" s="7" t="s">
        <v>435</v>
      </c>
      <c r="T67" s="19" t="s">
        <v>431</v>
      </c>
    </row>
    <row r="68">
      <c r="E68" s="19" t="s">
        <v>394</v>
      </c>
      <c r="F68" s="135"/>
      <c r="G68" s="21"/>
      <c r="H68" s="7" t="s">
        <v>378</v>
      </c>
      <c r="J68" s="7" t="s">
        <v>435</v>
      </c>
    </row>
    <row r="69">
      <c r="C69" s="47" t="s">
        <v>152</v>
      </c>
      <c r="D69" s="170"/>
      <c r="E69" s="47" t="s">
        <v>152</v>
      </c>
    </row>
    <row r="70">
      <c r="E70" s="19" t="s">
        <v>394</v>
      </c>
      <c r="F70" s="68"/>
      <c r="H70" s="7" t="s">
        <v>440</v>
      </c>
      <c r="I70" s="7" t="s">
        <v>441</v>
      </c>
      <c r="J70" s="7" t="s">
        <v>442</v>
      </c>
      <c r="T70" s="19" t="s">
        <v>431</v>
      </c>
    </row>
    <row r="71">
      <c r="E71" s="19" t="s">
        <v>394</v>
      </c>
      <c r="F71" s="68"/>
      <c r="L71" s="7" t="s">
        <v>443</v>
      </c>
      <c r="M71" s="12" t="s">
        <v>434</v>
      </c>
      <c r="N71" s="12"/>
      <c r="Q71" s="7" t="s">
        <v>440</v>
      </c>
      <c r="R71" s="7"/>
      <c r="T71" s="19" t="s">
        <v>431</v>
      </c>
      <c r="X71" s="19" t="s">
        <v>444</v>
      </c>
    </row>
    <row r="72">
      <c r="E72" s="19" t="s">
        <v>394</v>
      </c>
      <c r="F72" s="68"/>
      <c r="G72" s="21"/>
      <c r="H72" s="7" t="s">
        <v>441</v>
      </c>
      <c r="I72" s="12" t="s">
        <v>445</v>
      </c>
      <c r="J72" s="7" t="s">
        <v>446</v>
      </c>
      <c r="L72" s="7" t="s">
        <v>447</v>
      </c>
      <c r="M72" s="7" t="s">
        <v>442</v>
      </c>
      <c r="N72" s="7"/>
      <c r="Q72" s="7" t="s">
        <v>448</v>
      </c>
      <c r="R72" s="7"/>
      <c r="T72" s="19" t="s">
        <v>431</v>
      </c>
    </row>
    <row r="74">
      <c r="F74" s="19" t="s">
        <v>449</v>
      </c>
      <c r="H74" s="19" t="s">
        <v>450</v>
      </c>
      <c r="I74" s="19">
        <v>44.5</v>
      </c>
      <c r="J74" s="19" t="s">
        <v>451</v>
      </c>
      <c r="L74" s="19" t="s">
        <v>452</v>
      </c>
      <c r="M74" s="19">
        <v>31.0</v>
      </c>
      <c r="N74" s="19"/>
      <c r="P74" s="157">
        <v>25.0</v>
      </c>
      <c r="Q74" s="157">
        <v>35.5</v>
      </c>
      <c r="R74" s="157"/>
      <c r="T74" s="19" t="s">
        <v>453</v>
      </c>
      <c r="V74" s="19">
        <v>23.0</v>
      </c>
    </row>
    <row r="75">
      <c r="C75" s="174" t="s">
        <v>454</v>
      </c>
      <c r="D75" s="18"/>
      <c r="E75" s="18"/>
      <c r="F75" s="18"/>
      <c r="G75" s="18"/>
      <c r="H75" s="12">
        <v>12.0</v>
      </c>
      <c r="I75" s="12">
        <v>15.0</v>
      </c>
      <c r="J75" s="12">
        <v>15.0</v>
      </c>
      <c r="K75" s="18"/>
      <c r="L75" s="12">
        <v>7.0</v>
      </c>
      <c r="M75" s="12">
        <v>9.0</v>
      </c>
      <c r="N75" s="12"/>
      <c r="O75" s="18"/>
      <c r="P75" s="12">
        <v>8.0</v>
      </c>
      <c r="Q75" s="12">
        <v>12.0</v>
      </c>
      <c r="R75" s="12"/>
      <c r="S75" s="18"/>
      <c r="T75" s="12">
        <v>10.0</v>
      </c>
      <c r="U75" s="18"/>
      <c r="V75" s="12">
        <v>6.0</v>
      </c>
      <c r="X75" s="19" t="s">
        <v>455</v>
      </c>
      <c r="Y75" s="19" t="s">
        <v>456</v>
      </c>
      <c r="Z75" s="19" t="s">
        <v>457</v>
      </c>
    </row>
    <row r="76">
      <c r="X76" s="12" t="s">
        <v>458</v>
      </c>
      <c r="Y76" s="18"/>
      <c r="Z76" s="18">
        <f>sum(H75:V75)</f>
        <v>94</v>
      </c>
    </row>
    <row r="82">
      <c r="W82" s="12" t="s">
        <v>305</v>
      </c>
      <c r="X82" s="12">
        <v>15.0</v>
      </c>
    </row>
    <row r="83">
      <c r="W83" s="12" t="s">
        <v>306</v>
      </c>
      <c r="X83" s="12">
        <v>15.0</v>
      </c>
    </row>
    <row r="84">
      <c r="W84" s="12" t="s">
        <v>307</v>
      </c>
      <c r="X84" s="12">
        <v>12.0</v>
      </c>
    </row>
    <row r="85">
      <c r="W85" s="12" t="s">
        <v>308</v>
      </c>
      <c r="X85" s="12">
        <v>12.0</v>
      </c>
    </row>
    <row r="86">
      <c r="W86" s="12" t="s">
        <v>309</v>
      </c>
      <c r="X86" s="12">
        <v>10.0</v>
      </c>
    </row>
    <row r="87">
      <c r="W87" s="12" t="s">
        <v>310</v>
      </c>
      <c r="X87" s="12">
        <v>10.0</v>
      </c>
    </row>
    <row r="88">
      <c r="W88" s="12" t="s">
        <v>311</v>
      </c>
      <c r="X88" s="12">
        <v>9.0</v>
      </c>
    </row>
    <row r="89">
      <c r="W89" s="12" t="s">
        <v>314</v>
      </c>
      <c r="X89" s="12">
        <v>9.0</v>
      </c>
    </row>
    <row r="90">
      <c r="W90" s="12" t="s">
        <v>317</v>
      </c>
      <c r="X90" s="12">
        <v>8.0</v>
      </c>
    </row>
    <row r="91">
      <c r="W91" s="12" t="s">
        <v>318</v>
      </c>
      <c r="X91" s="12">
        <v>7.0</v>
      </c>
    </row>
    <row r="92">
      <c r="W92" s="12" t="s">
        <v>459</v>
      </c>
      <c r="X92" s="12">
        <v>6.0</v>
      </c>
    </row>
    <row r="94">
      <c r="X94" s="19"/>
    </row>
  </sheetData>
  <mergeCells count="7">
    <mergeCell ref="C1:I1"/>
    <mergeCell ref="C2:I2"/>
    <mergeCell ref="C3:I3"/>
    <mergeCell ref="C4:I4"/>
    <mergeCell ref="C5:I5"/>
    <mergeCell ref="C6:I6"/>
    <mergeCell ref="C7:I7"/>
  </mergeCells>
  <drawing r:id="rId1"/>
</worksheet>
</file>